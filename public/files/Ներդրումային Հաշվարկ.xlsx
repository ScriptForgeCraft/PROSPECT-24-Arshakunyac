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36256154-F23C-42FA-9A23-0E2E651EB071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Info" sheetId="6" r:id="rId1"/>
    <sheet name="Investment" sheetId="4" r:id="rId2"/>
    <sheet name="Credit" sheetId="5" r:id="rId3"/>
    <sheet name="Cash flow" sheetId="1" r:id="rId4"/>
    <sheet name="Income Statement" sheetId="7" r:id="rId5"/>
  </sheets>
  <definedNames>
    <definedName name="Cash_Minimum" localSheetId="4">'Income Statement'!#REF!</definedName>
    <definedName name="Cash_Minimum" localSheetId="1">Investment!#REF!</definedName>
    <definedName name="Cash_Minimum">'Cash flow'!#REF!</definedName>
    <definedName name="Start_Date" localSheetId="4">'Income Statement'!#REF!</definedName>
    <definedName name="Start_Date" localSheetId="1">Investment!#REF!</definedName>
    <definedName name="Start_Date">'Cash flow'!#REF!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6" l="1"/>
  <c r="F9" i="4"/>
  <c r="F8" i="4"/>
  <c r="C22" i="7"/>
  <c r="E22" i="7" s="1"/>
  <c r="E21" i="7"/>
  <c r="E23" i="7"/>
  <c r="E24" i="7"/>
  <c r="E25" i="7"/>
  <c r="E26" i="7"/>
  <c r="B22" i="7"/>
  <c r="E27" i="1"/>
  <c r="E30" i="1"/>
  <c r="E31" i="1"/>
  <c r="E32" i="1"/>
  <c r="E33" i="1"/>
  <c r="E26" i="1"/>
  <c r="G17" i="4"/>
  <c r="C19" i="7"/>
  <c r="B19" i="7"/>
  <c r="C25" i="1"/>
  <c r="G8" i="4"/>
  <c r="E27" i="7"/>
  <c r="C17" i="7"/>
  <c r="E17" i="7" s="1"/>
  <c r="D8" i="4"/>
  <c r="H8" i="4" l="1"/>
  <c r="D9" i="4"/>
  <c r="D12" i="1" l="1"/>
  <c r="C12" i="1"/>
  <c r="H9" i="4"/>
  <c r="C7" i="7" l="1"/>
  <c r="D7" i="7"/>
  <c r="C13" i="1"/>
  <c r="C8" i="7" s="1"/>
  <c r="D13" i="1"/>
  <c r="D8" i="7" s="1"/>
  <c r="E14" i="1"/>
  <c r="C16" i="7"/>
  <c r="C28" i="1" l="1"/>
  <c r="D28" i="1"/>
  <c r="B17" i="7"/>
  <c r="B18" i="7"/>
  <c r="B20" i="7"/>
  <c r="C23" i="1"/>
  <c r="E23" i="1" s="1"/>
  <c r="B23" i="1"/>
  <c r="B24" i="1"/>
  <c r="B26" i="1"/>
  <c r="E9" i="4"/>
  <c r="G9" i="4" s="1"/>
  <c r="G15" i="4" s="1"/>
  <c r="E28" i="1" l="1"/>
  <c r="E9" i="7"/>
  <c r="B8" i="7"/>
  <c r="B7" i="7"/>
  <c r="C18" i="7" l="1"/>
  <c r="C24" i="1"/>
  <c r="H21" i="4"/>
  <c r="E16" i="7"/>
  <c r="D14" i="5"/>
  <c r="E14" i="5"/>
  <c r="F14" i="5"/>
  <c r="G14" i="5"/>
  <c r="H14" i="5"/>
  <c r="I14" i="5"/>
  <c r="J14" i="5"/>
  <c r="K14" i="5"/>
  <c r="L14" i="5"/>
  <c r="M14" i="5"/>
  <c r="N14" i="5"/>
  <c r="C14" i="5"/>
  <c r="B13" i="1"/>
  <c r="B12" i="1"/>
  <c r="C8" i="1"/>
  <c r="E38" i="1"/>
  <c r="E37" i="1"/>
  <c r="E19" i="7" l="1"/>
  <c r="E13" i="1"/>
  <c r="E22" i="1"/>
  <c r="E12" i="1" l="1"/>
  <c r="C7" i="6" s="1"/>
  <c r="E8" i="7" l="1"/>
  <c r="G19" i="4"/>
  <c r="E7" i="7"/>
  <c r="D24" i="1" l="1"/>
  <c r="C26" i="1"/>
  <c r="D18" i="7"/>
  <c r="E18" i="7" s="1"/>
  <c r="C20" i="7"/>
  <c r="G21" i="4"/>
  <c r="E24" i="1" l="1"/>
  <c r="D26" i="1"/>
  <c r="E25" i="1"/>
  <c r="D20" i="7" l="1"/>
  <c r="E20" i="7" l="1"/>
  <c r="C4" i="5"/>
  <c r="C15" i="1" s="1"/>
  <c r="E15" i="1" l="1"/>
  <c r="C8" i="5"/>
  <c r="C10" i="5" l="1"/>
  <c r="D8" i="5" s="1"/>
  <c r="C11" i="5"/>
  <c r="D11" i="5" l="1"/>
  <c r="C17" i="5"/>
  <c r="D10" i="5"/>
  <c r="E10" i="5" s="1"/>
  <c r="F10" i="5" s="1"/>
  <c r="G10" i="5" s="1"/>
  <c r="H10" i="5" s="1"/>
  <c r="I10" i="5" s="1"/>
  <c r="J10" i="5" s="1"/>
  <c r="K10" i="5" s="1"/>
  <c r="L10" i="5" s="1"/>
  <c r="M10" i="5" s="1"/>
  <c r="N10" i="5" s="1"/>
  <c r="C12" i="5"/>
  <c r="E8" i="5" l="1"/>
  <c r="F8" i="5" s="1"/>
  <c r="O10" i="5"/>
  <c r="C36" i="1" s="1"/>
  <c r="D17" i="5"/>
  <c r="E17" i="5" s="1"/>
  <c r="F17" i="5" s="1"/>
  <c r="G17" i="5" s="1"/>
  <c r="H17" i="5" s="1"/>
  <c r="I17" i="5" s="1"/>
  <c r="J17" i="5" s="1"/>
  <c r="K17" i="5" s="1"/>
  <c r="L17" i="5" s="1"/>
  <c r="M17" i="5" s="1"/>
  <c r="N17" i="5" s="1"/>
  <c r="D12" i="5"/>
  <c r="E11" i="5" l="1"/>
  <c r="E12" i="5" s="1"/>
  <c r="G8" i="5"/>
  <c r="G11" i="5" s="1"/>
  <c r="F11" i="5"/>
  <c r="F12" i="5" s="1"/>
  <c r="O17" i="5"/>
  <c r="D36" i="1" s="1"/>
  <c r="E36" i="1" s="1"/>
  <c r="H8" i="5" l="1"/>
  <c r="G12" i="5"/>
  <c r="H11" i="5" l="1"/>
  <c r="I8" i="5"/>
  <c r="H12" i="5" l="1"/>
  <c r="J8" i="5"/>
  <c r="I11" i="5"/>
  <c r="I12" i="5" s="1"/>
  <c r="K8" i="5" l="1"/>
  <c r="J11" i="5"/>
  <c r="J12" i="5" s="1"/>
  <c r="L8" i="5" l="1"/>
  <c r="K11" i="5"/>
  <c r="K12" i="5" s="1"/>
  <c r="M8" i="5" l="1"/>
  <c r="L11" i="5"/>
  <c r="L12" i="5" s="1"/>
  <c r="N8" i="5" l="1"/>
  <c r="M11" i="5"/>
  <c r="M12" i="5" s="1"/>
  <c r="C15" i="5" l="1"/>
  <c r="N11" i="5"/>
  <c r="C16" i="1"/>
  <c r="C10" i="7" l="1"/>
  <c r="C11" i="7" s="1"/>
  <c r="C17" i="1"/>
  <c r="C18" i="5"/>
  <c r="C19" i="5" s="1"/>
  <c r="D15" i="5"/>
  <c r="N12" i="5"/>
  <c r="O12" i="5" s="1"/>
  <c r="O11" i="5"/>
  <c r="C31" i="1" l="1"/>
  <c r="E15" i="5"/>
  <c r="D18" i="5"/>
  <c r="D19" i="5" s="1"/>
  <c r="C24" i="7" l="1"/>
  <c r="E18" i="5"/>
  <c r="E19" i="5" s="1"/>
  <c r="F15" i="5"/>
  <c r="C28" i="7" l="1"/>
  <c r="G15" i="5"/>
  <c r="F18" i="5"/>
  <c r="C29" i="1" l="1"/>
  <c r="C31" i="7"/>
  <c r="F19" i="5"/>
  <c r="G18" i="5"/>
  <c r="G19" i="5" s="1"/>
  <c r="H15" i="5"/>
  <c r="C34" i="1" l="1"/>
  <c r="C39" i="1" s="1"/>
  <c r="C41" i="1" s="1"/>
  <c r="H18" i="5"/>
  <c r="I15" i="5"/>
  <c r="C40" i="1" l="1"/>
  <c r="D8" i="1" s="1"/>
  <c r="I18" i="5"/>
  <c r="I19" i="5" s="1"/>
  <c r="J15" i="5"/>
  <c r="H19" i="5"/>
  <c r="J18" i="5" l="1"/>
  <c r="J19" i="5" s="1"/>
  <c r="K15" i="5"/>
  <c r="L15" i="5" l="1"/>
  <c r="K18" i="5"/>
  <c r="K19" i="5" l="1"/>
  <c r="M15" i="5"/>
  <c r="L18" i="5"/>
  <c r="L19" i="5" s="1"/>
  <c r="N15" i="5" l="1"/>
  <c r="M18" i="5"/>
  <c r="M19" i="5" s="1"/>
  <c r="D16" i="1" l="1"/>
  <c r="N18" i="5"/>
  <c r="D10" i="7" l="1"/>
  <c r="D11" i="7" s="1"/>
  <c r="D17" i="1"/>
  <c r="N19" i="5"/>
  <c r="O19" i="5" s="1"/>
  <c r="O18" i="5"/>
  <c r="D31" i="1" l="1"/>
  <c r="D24" i="7" l="1"/>
  <c r="D28" i="7" l="1"/>
  <c r="D29" i="7" s="1"/>
  <c r="E29" i="7" s="1"/>
  <c r="D29" i="1" l="1"/>
  <c r="E29" i="1" s="1"/>
  <c r="D34" i="1" l="1"/>
  <c r="D39" i="1" s="1"/>
  <c r="D40" i="1" s="1"/>
  <c r="D31" i="7"/>
  <c r="D41" i="1" l="1"/>
  <c r="E10" i="7" l="1"/>
  <c r="E11" i="7" s="1"/>
  <c r="E28" i="7" l="1"/>
  <c r="E31" i="7" s="1"/>
  <c r="E16" i="1" l="1"/>
  <c r="E17" i="1" s="1"/>
  <c r="C9" i="6" l="1"/>
  <c r="E34" i="1" l="1"/>
  <c r="E39" i="1" s="1"/>
  <c r="E40" i="1" l="1"/>
</calcChain>
</file>

<file path=xl/sharedStrings.xml><?xml version="1.0" encoding="utf-8"?>
<sst xmlns="http://schemas.openxmlformats.org/spreadsheetml/2006/main" count="110" uniqueCount="83">
  <si>
    <t xml:space="preserve"> </t>
  </si>
  <si>
    <t>ԸՆԴՀԱՆՈՒՐ ՄՈՒՏՔԵՐ</t>
  </si>
  <si>
    <t>ԱՊԶ - հասարակական տարածքներ</t>
  </si>
  <si>
    <t>Շինարարության ծախսեր</t>
  </si>
  <si>
    <t>ԸՆԴՀԱՆՈՒՐ ԴՐԱՄԱԿԱՆ ՀՈՍՔԵՐԻ ԵԼՔ</t>
  </si>
  <si>
    <t>ԴՐԱՄԱԿԱՆ ՄԻՋՈՑՆԵՐԻ ՄՆԱՑՈՐԴ</t>
  </si>
  <si>
    <t>Չափման միավոր</t>
  </si>
  <si>
    <t>քառ․ մետր</t>
  </si>
  <si>
    <t>ԴՐԱՄԻ ՄԻԱՎՈՐ</t>
  </si>
  <si>
    <t>Ընդհանուր ՄՈՒՏՔԵՐ</t>
  </si>
  <si>
    <t>Ընդհանուր ԵԼՔԵՐ</t>
  </si>
  <si>
    <t>ԸՆԴՀԱՆՈՒՐ ԵԼՔԵՐ / ՄՈՒՏՔԵՐ</t>
  </si>
  <si>
    <t>ՆԵՐԴՐՈՒՄՆԵՐ</t>
  </si>
  <si>
    <t>ՆԵՐԴՐՈՒՄԱՅԻՆ ԾՐԱԳԻՐ</t>
  </si>
  <si>
    <t>Վարկային միջոցներ</t>
  </si>
  <si>
    <t>Տոկոսներ ավանդից</t>
  </si>
  <si>
    <t>ԴՐԱՄԱԿԱՆ ՄԻՋՈՑՆԵՐԻ ՇԱՐԺ</t>
  </si>
  <si>
    <t>Վարկի տոկոսներ</t>
  </si>
  <si>
    <t>Վարկի մայր գումարի վճարում</t>
  </si>
  <si>
    <t>ՎԱՐԿԻ ԿԱՌԱՎԱՐՈՒՄ</t>
  </si>
  <si>
    <t>Վարկի գումար</t>
  </si>
  <si>
    <t>Վարկի մայր գումարի մնացորդ</t>
  </si>
  <si>
    <t>Վարկի ժամկետ (ամիս)</t>
  </si>
  <si>
    <t>Ստացման ամիս</t>
  </si>
  <si>
    <t>Մայր գումարի վճար</t>
  </si>
  <si>
    <t>Վարկի տարեկան տոկոսադրույք</t>
  </si>
  <si>
    <t>Վճարվող տոկոսներ</t>
  </si>
  <si>
    <t>ԸՆԴՀԱՆՈՒՐ ՄԱՅՐ ԳՈՒՄԱՐ ԵՎ ՏՈԿՈՍՆԵՐ</t>
  </si>
  <si>
    <t>Ավանդի տարեկան տոկոսադրույք</t>
  </si>
  <si>
    <t>ՏԱՐԻ 1</t>
  </si>
  <si>
    <t>ՏԱՐԻ 2</t>
  </si>
  <si>
    <t>Դրամական միջոցների սկզբնական մնացորդ</t>
  </si>
  <si>
    <t>ԱՄԻՍ 1</t>
  </si>
  <si>
    <t>ԱՄԻՍ 2</t>
  </si>
  <si>
    <t>ԱՄԻՍ 3</t>
  </si>
  <si>
    <t>ԱՄԻՍ 4</t>
  </si>
  <si>
    <t>ԱՄԻՍ 5</t>
  </si>
  <si>
    <t>ԱՄԻՍ 6</t>
  </si>
  <si>
    <t>ԱՄԻՍ 7</t>
  </si>
  <si>
    <t>ԱՄԻՍ 8</t>
  </si>
  <si>
    <t>ԱՄԻՍ 9</t>
  </si>
  <si>
    <t>ԱՄԻՍ 10</t>
  </si>
  <si>
    <t>ԱՄԻՍ 11</t>
  </si>
  <si>
    <t>ԱՄԻՍ 12</t>
  </si>
  <si>
    <t>ԵԼՔԵՐ / ՄՈՒՏՔԵՐ</t>
  </si>
  <si>
    <t>ԴՐԱՄԻ ՄՆԱՑՈՐԴ ՏԱՐՎԱ ՍԿԶԲՈՒՄ</t>
  </si>
  <si>
    <t>ԴՐԱՄԻ ՄՈՒՏՔԵՐ</t>
  </si>
  <si>
    <t>ԴՐԱՄԻ ԵԼՔԵՐ</t>
  </si>
  <si>
    <t>ԸՆԴՀԱՆՈՒՐ</t>
  </si>
  <si>
    <t>ԳՈՒՄԱՐ</t>
  </si>
  <si>
    <t xml:space="preserve">Նախագիծ </t>
  </si>
  <si>
    <t>Զուտ շահույթ</t>
  </si>
  <si>
    <t>ՖԻՆԱՆՍԱԿԱՆ ԱՐԴՅՈՒՆՔՆԵՐԻ ՀԱՇՎԵՏՎՈՒԹՅՈՒՆ</t>
  </si>
  <si>
    <t>ՀԱՄԱԽԱՌՆ ԵԿԱՄՈՒՏ</t>
  </si>
  <si>
    <t>ԸՆԴՀԱՆՈՒՐ ՀԱՄԱԽԱՌՆ ԵԿԱՄՈՒՏ</t>
  </si>
  <si>
    <t>ԾԱԽՍԵՐ</t>
  </si>
  <si>
    <t>ԸՆԴՀԱՆՈՒՐ ԾԱԽՍԵՐ</t>
  </si>
  <si>
    <t>ԶՈՒՏ ՇԱՀՈՒՅԹ</t>
  </si>
  <si>
    <t>ՖԻՆԱՆՍԱԿԱՆ ՑՈՒՑԱՆԻՇՆԵՐ</t>
  </si>
  <si>
    <t>ՆԵՐԴՐՈՒՄՆԵՐ ՏԱՐԱԾՔԻ ԿԱՌՈՒՑԱՊԱՏՄԱՆ ՆՊԱՏԱԿՈՎ</t>
  </si>
  <si>
    <t>Պահանջվող ներդրումներ*</t>
  </si>
  <si>
    <t>ՀՀ ԴՐԱՄ</t>
  </si>
  <si>
    <t>Ընդհանուր տարածք</t>
  </si>
  <si>
    <t>Քանակ` մաքուր մակերես.</t>
  </si>
  <si>
    <t>ԸՆԴՀԱՆՈՒՐ ՏՎՅԱԼՆԵՐ</t>
  </si>
  <si>
    <t>Կանխատեսման հորիզոն ՝ տարի</t>
  </si>
  <si>
    <t>Կանխատեսման հորիզոն կառուցապատումից հետո՝ տարի</t>
  </si>
  <si>
    <t>Այլ ծախսեր (մարքեթինգ, վարչական, չնախատեսված, այլն)</t>
  </si>
  <si>
    <t>ԱԱՀ</t>
  </si>
  <si>
    <t>Շահութահարկ</t>
  </si>
  <si>
    <t>ԸՆԴԱՄԵՆԸ</t>
  </si>
  <si>
    <t>Հասարակական տարածք  և գրասենյակ՝ վաճառք</t>
  </si>
  <si>
    <t>ԶՈՒՏ ԴՐԱՄԱԿԱՆ ՀՈՍՔԵՐ</t>
  </si>
  <si>
    <t>Տոկոսային եկամուտ</t>
  </si>
  <si>
    <t>ՄԱՄՈՒԼԻ ՇԵՆՔ</t>
  </si>
  <si>
    <t>Ապարթ հոթել՝ վաճառք</t>
  </si>
  <si>
    <t>Կապիտալ նորոգման Ինքնարժեք, ՀՀ դրամ/քմ</t>
  </si>
  <si>
    <t>Վաճառքի Գին, ՀՀ դրամ/քմ</t>
  </si>
  <si>
    <t>Սեյսմակայունության եզրակացություն</t>
  </si>
  <si>
    <t>Ամրացման աշխատանքներ</t>
  </si>
  <si>
    <t>Նախագծային/նախագործառնական  ծախսեր</t>
  </si>
  <si>
    <t>Գույքի արժեք</t>
  </si>
  <si>
    <t>Համախառն եկամուտ  (ներառյալ ԱԱՀ)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</si>
</sst>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\ yyyy"/>
    <numFmt numFmtId="165" formatCode="_(* #,##0_);_(* \(#,##0\);_(* &quot;-&quot;??_);_(@_)"/>
    <numFmt numFmtId="166" formatCode="m/d/yy;@"/>
  </numFmts>
  <fonts count="35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4"/>
      <color theme="6" tint="-0.499984740745262"/>
      <name val="Franklin Gothic Demi"/>
      <family val="2"/>
    </font>
    <font>
      <sz val="10"/>
      <color theme="6" tint="-0.499984740745262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b/>
      <sz val="10"/>
      <color theme="1"/>
      <name val="Franklin Gothic Book"/>
      <family val="2"/>
      <scheme val="minor"/>
    </font>
    <font>
      <sz val="12"/>
      <color theme="1"/>
      <name val="Franklin Gothic Book"/>
      <family val="2"/>
      <scheme val="minor"/>
    </font>
    <font>
      <sz val="12"/>
      <color theme="6" tint="-0.499984740745262"/>
      <name val="Franklin Gothic Book"/>
      <family val="2"/>
      <scheme val="minor"/>
    </font>
    <font>
      <sz val="12"/>
      <color theme="3"/>
      <name val="Franklin Gothic Book"/>
      <family val="2"/>
      <scheme val="minor"/>
    </font>
    <font>
      <sz val="8"/>
      <name val="Franklin Gothic Book"/>
      <family val="2"/>
      <scheme val="minor"/>
    </font>
    <font>
      <b/>
      <sz val="12"/>
      <color theme="1"/>
      <name val="Franklin Gothic Book"/>
      <family val="2"/>
      <scheme val="minor"/>
    </font>
    <font>
      <b/>
      <sz val="12"/>
      <color theme="3"/>
      <name val="Franklin Gothic Book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3"/>
      <name val="Calibri"/>
      <family val="2"/>
    </font>
    <font>
      <b/>
      <sz val="14"/>
      <color theme="6" tint="-0.499984740745262"/>
      <name val="Calibri"/>
      <family val="2"/>
    </font>
    <font>
      <b/>
      <sz val="10"/>
      <color theme="1"/>
      <name val="Calibri"/>
      <family val="2"/>
    </font>
    <font>
      <sz val="36"/>
      <color theme="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1"/>
      <color theme="0"/>
      <name val="Calibri"/>
      <family val="2"/>
    </font>
    <font>
      <sz val="12"/>
      <color theme="0"/>
      <name val="Calibri"/>
      <family val="2"/>
    </font>
    <font>
      <b/>
      <sz val="12"/>
      <color theme="1"/>
      <name val="Calibri"/>
      <family val="2"/>
    </font>
    <font>
      <b/>
      <sz val="13"/>
      <color theme="6" tint="-0.499984740745262"/>
      <name val="Calibri"/>
      <family val="2"/>
    </font>
    <font>
      <b/>
      <sz val="13"/>
      <color theme="3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3"/>
      <color theme="1"/>
      <name val="Franklin Gothic Book"/>
      <family val="2"/>
      <scheme val="minor"/>
    </font>
    <font>
      <sz val="13"/>
      <color theme="3"/>
      <name val="Franklin Gothic Book"/>
      <family val="2"/>
      <scheme val="minor"/>
    </font>
    <font>
      <sz val="10"/>
      <name val="Franklin Gothic Book"/>
      <family val="2"/>
      <scheme val="minor"/>
    </font>
    <font>
      <sz val="9"/>
      <color theme="1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b/>
      <sz val="13"/>
      <color theme="6" tint="-0.749992370372631"/>
      <name val="Calibri"/>
      <family val="2"/>
    </font>
    <font>
      <b/>
      <sz val="13"/>
      <color theme="0"/>
      <name val="Calibri"/>
      <family val="2"/>
    </font>
    <font>
      <sz val="12"/>
      <color theme="0"/>
      <name val="Franklin Gothic Book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749992370372631"/>
        <bgColor indexed="64"/>
      </patternFill>
    </fill>
  </fills>
  <borders count="29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3" tint="0.79998168889431442"/>
      </right>
      <top style="thin">
        <color theme="3" tint="0.79998168889431442"/>
      </top>
      <bottom style="thin">
        <color theme="0"/>
      </bottom>
      <diagonal/>
    </border>
    <border>
      <left/>
      <right style="thin">
        <color theme="3" tint="0.79998168889431442"/>
      </right>
      <top style="thin">
        <color theme="0"/>
      </top>
      <bottom style="thin">
        <color theme="0"/>
      </bottom>
      <diagonal/>
    </border>
    <border>
      <left style="thin">
        <color theme="3" tint="0.7999816888943144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3" tint="0.79998168889431442"/>
      </right>
      <top style="thin">
        <color theme="0"/>
      </top>
      <bottom style="thin">
        <color theme="0"/>
      </bottom>
      <diagonal/>
    </border>
    <border>
      <left style="thin">
        <color theme="3" tint="0.79998168889431442"/>
      </left>
      <right style="thin">
        <color theme="0"/>
      </right>
      <top style="thin">
        <color theme="0"/>
      </top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3" tint="0.79998168889431442"/>
      </bottom>
      <diagonal/>
    </border>
    <border>
      <left style="thin">
        <color theme="0"/>
      </left>
      <right style="thin">
        <color theme="3" tint="0.79998168889431442"/>
      </right>
      <top style="thin">
        <color theme="0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0"/>
      </right>
      <top/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/>
      <bottom style="thin">
        <color theme="3" tint="0.79998168889431442"/>
      </bottom>
      <diagonal/>
    </border>
    <border>
      <left style="thin">
        <color theme="3" tint="0.79995117038483843"/>
      </left>
      <right style="thin">
        <color theme="3" tint="0.79998168889431442"/>
      </right>
      <top style="thin">
        <color theme="3" tint="0.79995117038483843"/>
      </top>
      <bottom style="thin">
        <color theme="3" tint="0.79998168889431442"/>
      </bottom>
      <diagonal/>
    </border>
    <border>
      <left/>
      <right style="thin">
        <color theme="3" tint="0.79995117038483843"/>
      </right>
      <top style="thin">
        <color theme="3" tint="0.79995117038483843"/>
      </top>
      <bottom style="thin">
        <color theme="0"/>
      </bottom>
      <diagonal/>
    </border>
    <border>
      <left style="thin">
        <color theme="3" tint="0.79995117038483843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5117038483843"/>
      </right>
      <top style="thin">
        <color theme="0"/>
      </top>
      <bottom style="thin">
        <color theme="0"/>
      </bottom>
      <diagonal/>
    </border>
    <border>
      <left style="thin">
        <color theme="3" tint="0.79995117038483843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3" tint="0.79995117038483843"/>
      </right>
      <top style="thin">
        <color theme="0"/>
      </top>
      <bottom style="thin">
        <color theme="0"/>
      </bottom>
      <diagonal/>
    </border>
    <border>
      <left style="thin">
        <color theme="3" tint="0.79995117038483843"/>
      </left>
      <right style="thin">
        <color theme="0"/>
      </right>
      <top style="thin">
        <color theme="0"/>
      </top>
      <bottom style="thin">
        <color theme="3" tint="0.79995117038483843"/>
      </bottom>
      <diagonal/>
    </border>
    <border>
      <left/>
      <right/>
      <top/>
      <bottom style="thin">
        <color theme="6" tint="-0.4999847407452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3" tint="0.7999816888943144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3" tint="0.79998168889431442"/>
      </left>
      <right/>
      <top/>
      <bottom style="thin">
        <color theme="0"/>
      </bottom>
      <diagonal/>
    </border>
    <border>
      <left style="thin">
        <color theme="3" tint="0.79998168889431442"/>
      </left>
      <right style="thin">
        <color theme="3" tint="0.79998168889431442"/>
      </right>
      <top/>
      <bottom style="thin">
        <color theme="3" tint="0.79998168889431442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62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44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44" fontId="1" fillId="0" borderId="2" xfId="0" applyNumberFormat="1" applyFont="1" applyBorder="1" applyAlignment="1">
      <alignment horizontal="center" vertical="center"/>
    </xf>
    <xf numFmtId="44" fontId="1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indent="2"/>
    </xf>
    <xf numFmtId="44" fontId="1" fillId="0" borderId="2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 indent="2"/>
    </xf>
    <xf numFmtId="44" fontId="3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left" vertical="center" indent="2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left" vertical="center"/>
    </xf>
    <xf numFmtId="164" fontId="1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left" vertical="center" indent="1"/>
    </xf>
    <xf numFmtId="165" fontId="1" fillId="0" borderId="0" xfId="0" applyNumberFormat="1" applyFont="1" applyAlignment="1">
      <alignment horizontal="center" vertical="center"/>
    </xf>
    <xf numFmtId="165" fontId="3" fillId="0" borderId="23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24" xfId="1" applyNumberFormat="1" applyFont="1" applyFill="1" applyBorder="1" applyAlignment="1">
      <alignment horizontal="center" vertical="center"/>
    </xf>
    <xf numFmtId="165" fontId="1" fillId="2" borderId="2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44" fontId="3" fillId="0" borderId="0" xfId="0" applyNumberFormat="1" applyFont="1" applyAlignment="1">
      <alignment horizontal="center" vertical="center"/>
    </xf>
    <xf numFmtId="165" fontId="1" fillId="3" borderId="2" xfId="0" applyNumberFormat="1" applyFont="1" applyFill="1" applyBorder="1" applyAlignment="1">
      <alignment horizontal="center" vertical="center"/>
    </xf>
    <xf numFmtId="166" fontId="1" fillId="2" borderId="24" xfId="0" applyNumberFormat="1" applyFont="1" applyFill="1" applyBorder="1" applyAlignment="1">
      <alignment horizontal="center" vertical="center"/>
    </xf>
    <xf numFmtId="9" fontId="1" fillId="2" borderId="24" xfId="2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indent="2"/>
    </xf>
    <xf numFmtId="44" fontId="6" fillId="0" borderId="0" xfId="0" applyNumberFormat="1" applyFont="1" applyAlignment="1">
      <alignment horizontal="center" vertical="center"/>
    </xf>
    <xf numFmtId="165" fontId="6" fillId="2" borderId="24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165" fontId="6" fillId="0" borderId="0" xfId="0" applyNumberFormat="1" applyFont="1" applyAlignment="1">
      <alignment horizontal="center" vertical="center"/>
    </xf>
    <xf numFmtId="165" fontId="7" fillId="0" borderId="23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165" fontId="6" fillId="0" borderId="23" xfId="0" applyNumberFormat="1" applyFont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0" fontId="11" fillId="0" borderId="0" xfId="0" applyFont="1" applyAlignment="1">
      <alignment horizontal="right" vertical="center" indent="2"/>
    </xf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horizontal="right" vertical="center" indent="2"/>
    </xf>
    <xf numFmtId="0" fontId="15" fillId="0" borderId="23" xfId="0" applyFont="1" applyBorder="1" applyAlignment="1">
      <alignment horizontal="left" vertical="center" indent="2"/>
    </xf>
    <xf numFmtId="165" fontId="11" fillId="0" borderId="0" xfId="3" applyNumberFormat="1" applyFont="1" applyAlignment="1">
      <alignment horizontal="right" vertical="center" indent="2"/>
    </xf>
    <xf numFmtId="165" fontId="0" fillId="0" borderId="0" xfId="3" applyNumberFormat="1" applyFont="1"/>
    <xf numFmtId="0" fontId="18" fillId="0" borderId="0" xfId="0" applyFont="1" applyAlignment="1">
      <alignment horizontal="left" vertical="center" indent="2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indent="2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44" fontId="12" fillId="0" borderId="0" xfId="0" applyNumberFormat="1" applyFont="1" applyAlignment="1">
      <alignment horizontal="center" vertical="center"/>
    </xf>
    <xf numFmtId="0" fontId="23" fillId="0" borderId="23" xfId="0" applyFont="1" applyBorder="1" applyAlignment="1">
      <alignment horizontal="left" vertical="center" indent="2"/>
    </xf>
    <xf numFmtId="0" fontId="24" fillId="0" borderId="0" xfId="0" applyFont="1" applyAlignment="1">
      <alignment horizontal="right" vertical="center" indent="2"/>
    </xf>
    <xf numFmtId="0" fontId="26" fillId="0" borderId="0" xfId="0" applyFont="1" applyAlignment="1">
      <alignment horizontal="left" vertical="center" indent="2"/>
    </xf>
    <xf numFmtId="0" fontId="27" fillId="0" borderId="0" xfId="0" applyFont="1" applyAlignment="1">
      <alignment horizontal="left" vertical="center" indent="2"/>
    </xf>
    <xf numFmtId="0" fontId="28" fillId="0" borderId="0" xfId="0" applyFont="1" applyAlignment="1">
      <alignment horizontal="right" vertical="center" indent="2"/>
    </xf>
    <xf numFmtId="0" fontId="18" fillId="0" borderId="0" xfId="0" applyFont="1"/>
    <xf numFmtId="44" fontId="12" fillId="0" borderId="2" xfId="0" applyNumberFormat="1" applyFont="1" applyBorder="1" applyAlignment="1">
      <alignment horizontal="center" vertical="center"/>
    </xf>
    <xf numFmtId="44" fontId="12" fillId="2" borderId="2" xfId="0" applyNumberFormat="1" applyFont="1" applyFill="1" applyBorder="1" applyAlignment="1">
      <alignment horizontal="center" vertical="center"/>
    </xf>
    <xf numFmtId="165" fontId="29" fillId="0" borderId="2" xfId="0" applyNumberFormat="1" applyFont="1" applyBorder="1" applyAlignment="1">
      <alignment horizontal="center" vertical="center"/>
    </xf>
    <xf numFmtId="13" fontId="1" fillId="0" borderId="0" xfId="0" applyNumberFormat="1" applyFont="1" applyAlignment="1">
      <alignment horizontal="center" vertical="center"/>
    </xf>
    <xf numFmtId="0" fontId="30" fillId="0" borderId="0" xfId="0" applyFont="1"/>
    <xf numFmtId="0" fontId="18" fillId="3" borderId="0" xfId="0" applyFont="1" applyFill="1" applyAlignment="1">
      <alignment horizontal="left" vertical="center" indent="2"/>
    </xf>
    <xf numFmtId="0" fontId="1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14" fillId="3" borderId="0" xfId="0" applyFont="1" applyFill="1" applyAlignment="1">
      <alignment horizontal="right" vertical="center" indent="2"/>
    </xf>
    <xf numFmtId="165" fontId="1" fillId="3" borderId="9" xfId="0" applyNumberFormat="1" applyFont="1" applyFill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indent="2"/>
    </xf>
    <xf numFmtId="44" fontId="1" fillId="3" borderId="0" xfId="0" applyNumberFormat="1" applyFont="1" applyFill="1" applyAlignment="1">
      <alignment horizontal="center" vertical="center"/>
    </xf>
    <xf numFmtId="165" fontId="6" fillId="0" borderId="26" xfId="0" applyNumberFormat="1" applyFont="1" applyBorder="1" applyAlignment="1">
      <alignment horizontal="center" vertical="center"/>
    </xf>
    <xf numFmtId="0" fontId="26" fillId="3" borderId="0" xfId="0" applyFont="1" applyFill="1" applyAlignment="1">
      <alignment horizontal="left" vertical="center" indent="2"/>
    </xf>
    <xf numFmtId="0" fontId="18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0" borderId="23" xfId="0" applyFont="1" applyBorder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0" fontId="24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32" fillId="0" borderId="0" xfId="0" applyFont="1" applyAlignment="1">
      <alignment horizontal="right" vertical="center"/>
    </xf>
    <xf numFmtId="165" fontId="5" fillId="3" borderId="2" xfId="3" applyNumberFormat="1" applyFont="1" applyFill="1" applyBorder="1" applyAlignment="1">
      <alignment horizontal="center" vertical="center"/>
    </xf>
    <xf numFmtId="165" fontId="5" fillId="2" borderId="2" xfId="3" applyNumberFormat="1" applyFont="1" applyFill="1" applyBorder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 vertical="center"/>
    </xf>
    <xf numFmtId="43" fontId="1" fillId="0" borderId="0" xfId="3" applyFont="1" applyAlignment="1">
      <alignment vertical="center"/>
    </xf>
    <xf numFmtId="0" fontId="1" fillId="5" borderId="0" xfId="0" applyFont="1" applyFill="1" applyAlignment="1">
      <alignment horizontal="left" vertical="center" indent="2"/>
    </xf>
    <xf numFmtId="44" fontId="16" fillId="5" borderId="0" xfId="0" applyNumberFormat="1" applyFont="1" applyFill="1" applyAlignment="1">
      <alignment horizontal="center" vertical="center"/>
    </xf>
    <xf numFmtId="44" fontId="1" fillId="5" borderId="9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  <xf numFmtId="165" fontId="1" fillId="6" borderId="9" xfId="0" applyNumberFormat="1" applyFont="1" applyFill="1" applyBorder="1" applyAlignment="1">
      <alignment horizontal="center" vertical="center"/>
    </xf>
    <xf numFmtId="165" fontId="1" fillId="6" borderId="5" xfId="0" applyNumberFormat="1" applyFont="1" applyFill="1" applyBorder="1" applyAlignment="1">
      <alignment horizontal="center" vertical="center"/>
    </xf>
    <xf numFmtId="165" fontId="1" fillId="6" borderId="6" xfId="0" applyNumberFormat="1" applyFont="1" applyFill="1" applyBorder="1" applyAlignment="1">
      <alignment horizontal="center" vertical="center"/>
    </xf>
    <xf numFmtId="14" fontId="20" fillId="7" borderId="4" xfId="0" applyNumberFormat="1" applyFont="1" applyFill="1" applyBorder="1" applyAlignment="1">
      <alignment horizontal="center" vertical="center"/>
    </xf>
    <xf numFmtId="165" fontId="1" fillId="3" borderId="8" xfId="0" applyNumberFormat="1" applyFont="1" applyFill="1" applyBorder="1" applyAlignment="1">
      <alignment horizontal="center" vertical="center"/>
    </xf>
    <xf numFmtId="165" fontId="1" fillId="6" borderId="7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vertical="center"/>
    </xf>
    <xf numFmtId="14" fontId="33" fillId="8" borderId="4" xfId="0" applyNumberFormat="1" applyFont="1" applyFill="1" applyBorder="1" applyAlignment="1">
      <alignment horizontal="center" vertical="center"/>
    </xf>
    <xf numFmtId="14" fontId="33" fillId="8" borderId="3" xfId="0" applyNumberFormat="1" applyFont="1" applyFill="1" applyBorder="1" applyAlignment="1">
      <alignment horizontal="center" vertical="center"/>
    </xf>
    <xf numFmtId="165" fontId="34" fillId="8" borderId="5" xfId="0" applyNumberFormat="1" applyFont="1" applyFill="1" applyBorder="1" applyAlignment="1">
      <alignment horizontal="center" vertical="center"/>
    </xf>
    <xf numFmtId="165" fontId="34" fillId="8" borderId="6" xfId="0" applyNumberFormat="1" applyFont="1" applyFill="1" applyBorder="1" applyAlignment="1">
      <alignment horizontal="center" vertical="center"/>
    </xf>
    <xf numFmtId="165" fontId="10" fillId="6" borderId="9" xfId="0" applyNumberFormat="1" applyFont="1" applyFill="1" applyBorder="1" applyAlignment="1">
      <alignment horizontal="center" vertical="center"/>
    </xf>
    <xf numFmtId="165" fontId="10" fillId="6" borderId="27" xfId="0" applyNumberFormat="1" applyFont="1" applyFill="1" applyBorder="1" applyAlignment="1">
      <alignment horizontal="center" vertical="center"/>
    </xf>
    <xf numFmtId="165" fontId="10" fillId="6" borderId="8" xfId="0" applyNumberFormat="1" applyFont="1" applyFill="1" applyBorder="1" applyAlignment="1">
      <alignment horizontal="center" vertical="center"/>
    </xf>
    <xf numFmtId="165" fontId="6" fillId="6" borderId="11" xfId="0" applyNumberFormat="1" applyFont="1" applyFill="1" applyBorder="1" applyAlignment="1">
      <alignment horizontal="center" vertical="center"/>
    </xf>
    <xf numFmtId="165" fontId="6" fillId="6" borderId="25" xfId="0" applyNumberFormat="1" applyFont="1" applyFill="1" applyBorder="1" applyAlignment="1">
      <alignment horizontal="center" vertical="center"/>
    </xf>
    <xf numFmtId="165" fontId="6" fillId="6" borderId="7" xfId="0" applyNumberFormat="1" applyFont="1" applyFill="1" applyBorder="1" applyAlignment="1">
      <alignment horizontal="center" vertical="center"/>
    </xf>
    <xf numFmtId="0" fontId="24" fillId="6" borderId="0" xfId="0" applyFont="1" applyFill="1" applyAlignment="1">
      <alignment horizontal="right" vertical="center"/>
    </xf>
    <xf numFmtId="165" fontId="6" fillId="6" borderId="14" xfId="0" applyNumberFormat="1" applyFont="1" applyFill="1" applyBorder="1" applyAlignment="1">
      <alignment horizontal="center" vertical="center"/>
    </xf>
    <xf numFmtId="165" fontId="6" fillId="6" borderId="8" xfId="0" applyNumberFormat="1" applyFont="1" applyFill="1" applyBorder="1" applyAlignment="1">
      <alignment horizontal="center" vertical="center"/>
    </xf>
    <xf numFmtId="165" fontId="6" fillId="6" borderId="20" xfId="0" applyNumberFormat="1" applyFont="1" applyFill="1" applyBorder="1" applyAlignment="1">
      <alignment horizontal="center" vertical="center"/>
    </xf>
    <xf numFmtId="165" fontId="6" fillId="6" borderId="21" xfId="0" applyNumberFormat="1" applyFont="1" applyFill="1" applyBorder="1" applyAlignment="1">
      <alignment horizontal="center" vertical="center"/>
    </xf>
    <xf numFmtId="165" fontId="10" fillId="6" borderId="22" xfId="0" applyNumberFormat="1" applyFont="1" applyFill="1" applyBorder="1" applyAlignment="1">
      <alignment horizontal="center" vertical="center"/>
    </xf>
    <xf numFmtId="165" fontId="10" fillId="6" borderId="0" xfId="0" applyNumberFormat="1" applyFont="1" applyFill="1" applyAlignment="1">
      <alignment horizontal="center" vertical="center"/>
    </xf>
    <xf numFmtId="165" fontId="1" fillId="6" borderId="0" xfId="0" applyNumberFormat="1" applyFont="1" applyFill="1" applyAlignment="1">
      <alignment horizontal="center" vertical="center"/>
    </xf>
    <xf numFmtId="165" fontId="6" fillId="6" borderId="17" xfId="0" applyNumberFormat="1" applyFont="1" applyFill="1" applyBorder="1" applyAlignment="1">
      <alignment horizontal="center" vertical="center"/>
    </xf>
    <xf numFmtId="165" fontId="6" fillId="6" borderId="19" xfId="0" applyNumberFormat="1" applyFont="1" applyFill="1" applyBorder="1" applyAlignment="1">
      <alignment horizontal="center" vertical="center"/>
    </xf>
    <xf numFmtId="14" fontId="33" fillId="4" borderId="4" xfId="0" applyNumberFormat="1" applyFont="1" applyFill="1" applyBorder="1" applyAlignment="1">
      <alignment horizontal="center" vertical="center"/>
    </xf>
    <xf numFmtId="14" fontId="33" fillId="4" borderId="3" xfId="0" applyNumberFormat="1" applyFont="1" applyFill="1" applyBorder="1" applyAlignment="1">
      <alignment horizontal="center" vertical="center"/>
    </xf>
    <xf numFmtId="165" fontId="10" fillId="6" borderId="10" xfId="0" applyNumberFormat="1" applyFont="1" applyFill="1" applyBorder="1" applyAlignment="1">
      <alignment horizontal="center" vertical="center"/>
    </xf>
    <xf numFmtId="165" fontId="6" fillId="6" borderId="12" xfId="0" applyNumberFormat="1" applyFont="1" applyFill="1" applyBorder="1" applyAlignment="1">
      <alignment horizontal="center" vertical="center"/>
    </xf>
    <xf numFmtId="165" fontId="6" fillId="6" borderId="13" xfId="0" applyNumberFormat="1" applyFont="1" applyFill="1" applyBorder="1" applyAlignment="1">
      <alignment horizontal="center" vertical="center"/>
    </xf>
    <xf numFmtId="165" fontId="6" fillId="6" borderId="15" xfId="0" applyNumberFormat="1" applyFont="1" applyFill="1" applyBorder="1" applyAlignment="1">
      <alignment horizontal="center" vertical="center"/>
    </xf>
    <xf numFmtId="165" fontId="10" fillId="6" borderId="20" xfId="0" applyNumberFormat="1" applyFont="1" applyFill="1" applyBorder="1" applyAlignment="1">
      <alignment horizontal="center" vertical="center"/>
    </xf>
    <xf numFmtId="165" fontId="6" fillId="3" borderId="26" xfId="0" applyNumberFormat="1" applyFont="1" applyFill="1" applyBorder="1" applyAlignment="1">
      <alignment horizontal="center" vertical="center"/>
    </xf>
    <xf numFmtId="44" fontId="1" fillId="3" borderId="26" xfId="0" applyNumberFormat="1" applyFont="1" applyFill="1" applyBorder="1" applyAlignment="1">
      <alignment horizontal="center" vertical="center"/>
    </xf>
    <xf numFmtId="165" fontId="6" fillId="3" borderId="18" xfId="0" applyNumberFormat="1" applyFont="1" applyFill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18" fillId="6" borderId="0" xfId="0" applyFont="1" applyFill="1" applyAlignment="1">
      <alignment horizontal="center"/>
    </xf>
    <xf numFmtId="0" fontId="0" fillId="6" borderId="0" xfId="0" applyFill="1"/>
    <xf numFmtId="0" fontId="31" fillId="6" borderId="0" xfId="0" applyFont="1" applyFill="1"/>
    <xf numFmtId="44" fontId="1" fillId="0" borderId="0" xfId="0" applyNumberFormat="1" applyFont="1" applyAlignment="1">
      <alignment horizontal="center" vertical="center" wrapText="1"/>
    </xf>
    <xf numFmtId="44" fontId="3" fillId="0" borderId="23" xfId="0" applyNumberFormat="1" applyFont="1" applyBorder="1" applyAlignment="1">
      <alignment horizontal="center" vertical="center" wrapText="1"/>
    </xf>
    <xf numFmtId="44" fontId="3" fillId="0" borderId="0" xfId="0" applyNumberFormat="1" applyFont="1" applyAlignment="1">
      <alignment horizontal="center" vertical="center" wrapText="1"/>
    </xf>
    <xf numFmtId="44" fontId="16" fillId="5" borderId="0" xfId="0" applyNumberFormat="1" applyFont="1" applyFill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165" fontId="1" fillId="3" borderId="2" xfId="0" applyNumberFormat="1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5" fontId="1" fillId="5" borderId="4" xfId="0" applyNumberFormat="1" applyFont="1" applyFill="1" applyBorder="1" applyAlignment="1">
      <alignment horizontal="center" vertical="center" wrapText="1"/>
    </xf>
    <xf numFmtId="165" fontId="1" fillId="5" borderId="3" xfId="0" applyNumberFormat="1" applyFont="1" applyFill="1" applyBorder="1" applyAlignment="1">
      <alignment horizontal="center" vertical="center" wrapText="1"/>
    </xf>
    <xf numFmtId="44" fontId="12" fillId="3" borderId="2" xfId="0" applyNumberFormat="1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 indent="2"/>
    </xf>
    <xf numFmtId="165" fontId="7" fillId="0" borderId="0" xfId="0" applyNumberFormat="1" applyFont="1" applyAlignment="1">
      <alignment horizontal="center" vertical="center"/>
    </xf>
    <xf numFmtId="165" fontId="6" fillId="3" borderId="28" xfId="0" applyNumberFormat="1" applyFont="1" applyFill="1" applyBorder="1" applyAlignment="1">
      <alignment horizontal="center" vertical="center"/>
    </xf>
    <xf numFmtId="0" fontId="17" fillId="4" borderId="0" xfId="0" applyFont="1" applyFill="1" applyAlignment="1">
      <alignment vertical="top"/>
    </xf>
    <xf numFmtId="0" fontId="17" fillId="4" borderId="0" xfId="0" applyFont="1" applyFill="1"/>
    <xf numFmtId="9" fontId="0" fillId="0" borderId="0" xfId="2" applyFont="1"/>
    <xf numFmtId="43" fontId="0" fillId="0" borderId="0" xfId="0" applyNumberFormat="1"/>
    <xf numFmtId="0" fontId="17" fillId="4" borderId="0" xfId="0" applyFont="1" applyFill="1" applyAlignment="1">
      <alignment horizontal="center"/>
    </xf>
    <xf numFmtId="0" fontId="17" fillId="4" borderId="0" xfId="0" applyFont="1" applyFill="1" applyAlignment="1">
      <alignment horizontal="center" vertical="top"/>
    </xf>
    <xf numFmtId="165" fontId="21" fillId="7" borderId="1" xfId="0" applyNumberFormat="1" applyFont="1" applyFill="1" applyBorder="1" applyAlignment="1">
      <alignment horizontal="center" vertical="center"/>
    </xf>
    <xf numFmtId="165" fontId="33" fillId="8" borderId="1" xfId="0" applyNumberFormat="1" applyFont="1" applyFill="1" applyBorder="1" applyAlignment="1">
      <alignment horizontal="center" vertic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Business Templates">
  <a:themeElements>
    <a:clrScheme name="TM0058758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0D497E"/>
      </a:accent1>
      <a:accent2>
        <a:srgbClr val="DFF3F2"/>
      </a:accent2>
      <a:accent3>
        <a:srgbClr val="C0D9F2"/>
      </a:accent3>
      <a:accent4>
        <a:srgbClr val="E63C28"/>
      </a:accent4>
      <a:accent5>
        <a:srgbClr val="8D9CAD"/>
      </a:accent5>
      <a:accent6>
        <a:srgbClr val="D2AC3C"/>
      </a:accent6>
      <a:hlink>
        <a:srgbClr val="0563C1"/>
      </a:hlink>
      <a:folHlink>
        <a:srgbClr val="954F72"/>
      </a:folHlink>
    </a:clrScheme>
    <a:fontScheme name="Custom 22">
      <a:majorFont>
        <a:latin typeface="Franklin Gothic Medium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tabSelected="1" topLeftCell="B6" workbookViewId="0">
      <selection activeCell="D10" sqref="D10"/>
    </sheetView>
  </sheetViews>
  <sheetFormatPr defaultRowHeight="15" x14ac:dyDescent="0.35"/>
  <cols>
    <col min="2" max="2" width="67.453125" customWidth="1"/>
    <col min="3" max="3" width="14.36328125" bestFit="1" customWidth="1"/>
    <col min="4" max="4" width="11.6328125" bestFit="1" customWidth="1"/>
  </cols>
  <sheetData>
    <row r="1" spans="1:4" s="7" customFormat="1" ht="46.2" x14ac:dyDescent="0.85">
      <c r="A1" s="2"/>
      <c r="B1" s="158" t="s">
        <v>74</v>
      </c>
      <c r="C1" s="158"/>
    </row>
    <row r="2" spans="1:4" s="2" customFormat="1" ht="46.2" x14ac:dyDescent="0.85">
      <c r="B2" s="159" t="s">
        <v>58</v>
      </c>
      <c r="C2" s="158"/>
    </row>
    <row r="3" spans="1:4" ht="15.6" x14ac:dyDescent="0.35">
      <c r="B3" s="51" t="s">
        <v>8</v>
      </c>
      <c r="C3" s="51" t="s">
        <v>61</v>
      </c>
    </row>
    <row r="5" spans="1:4" ht="16.2" x14ac:dyDescent="0.35">
      <c r="B5" s="137" t="s">
        <v>59</v>
      </c>
      <c r="C5" s="138"/>
    </row>
    <row r="6" spans="1:4" x14ac:dyDescent="0.35">
      <c r="B6" s="45"/>
    </row>
    <row r="7" spans="1:4" ht="15.6" x14ac:dyDescent="0.35">
      <c r="B7" s="52" t="s">
        <v>82</v>
      </c>
      <c r="C7" s="50">
        <f>+'Cash flow'!E12+'Cash flow'!E13+'Cash flow'!E16</f>
        <v>9984915693.75</v>
      </c>
    </row>
    <row r="8" spans="1:4" ht="16.2" x14ac:dyDescent="0.35">
      <c r="B8" s="64" t="s">
        <v>60</v>
      </c>
      <c r="C8" s="50">
        <f>+Credit!C4</f>
        <v>6718260600</v>
      </c>
    </row>
    <row r="9" spans="1:4" ht="16.2" x14ac:dyDescent="0.35">
      <c r="B9" s="64" t="s">
        <v>51</v>
      </c>
      <c r="C9" s="50">
        <f>+'Income Statement'!E31</f>
        <v>1428453885.7925</v>
      </c>
      <c r="D9" s="156"/>
    </row>
    <row r="10" spans="1:4" x14ac:dyDescent="0.35">
      <c r="B10" s="69"/>
      <c r="D10" s="157"/>
    </row>
    <row r="12" spans="1:4" x14ac:dyDescent="0.35">
      <c r="B12" s="46"/>
    </row>
    <row r="13" spans="1:4" x14ac:dyDescent="0.35">
      <c r="B13" s="140" t="s">
        <v>64</v>
      </c>
      <c r="C13" s="139"/>
    </row>
    <row r="14" spans="1:4" ht="16.2" x14ac:dyDescent="0.35">
      <c r="B14" s="64" t="s">
        <v>66</v>
      </c>
      <c r="C14">
        <v>1</v>
      </c>
    </row>
    <row r="15" spans="1:4" ht="16.2" x14ac:dyDescent="0.35">
      <c r="B15" s="64" t="s">
        <v>65</v>
      </c>
      <c r="C15">
        <v>2</v>
      </c>
    </row>
  </sheetData>
  <mergeCells count="2">
    <mergeCell ref="B1:C1"/>
    <mergeCell ref="B2:C2"/>
  </mergeCells>
  <dataValidations count="1">
    <dataValidation allowBlank="1" showInputMessage="1" showErrorMessage="1" promptTitle="Cash Flow Forecast Template" prompt="Enter your company name in cell B1, starting cash on hand in cell C4, starting date in cell F4, and a cash minimum balance alert in cell J4._x000a__x000a_Enter the values for your Cash Receipts and Cash Paid Out items for each month in the tables below._x000a_" sqref="A1" xr:uid="{00000000-0002-0000-0400-00000000000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2"/>
  <sheetViews>
    <sheetView showGridLines="0" topLeftCell="D2" zoomScale="73" zoomScaleNormal="100" workbookViewId="0">
      <selection activeCell="B27" sqref="B27"/>
    </sheetView>
  </sheetViews>
  <sheetFormatPr defaultColWidth="9" defaultRowHeight="22.2" customHeight="1" x14ac:dyDescent="0.35"/>
  <cols>
    <col min="1" max="1" width="1.81640625" style="2" customWidth="1"/>
    <col min="2" max="2" width="49.453125" style="8" customWidth="1"/>
    <col min="3" max="3" width="15.453125" style="3" bestFit="1" customWidth="1"/>
    <col min="4" max="4" width="20.90625" style="3" customWidth="1"/>
    <col min="5" max="5" width="32" style="141" customWidth="1"/>
    <col min="6" max="6" width="15.7265625" style="141" customWidth="1"/>
    <col min="7" max="7" width="18" style="3" customWidth="1"/>
    <col min="8" max="8" width="18.90625" style="3" bestFit="1" customWidth="1"/>
    <col min="9" max="16384" width="9" style="2"/>
  </cols>
  <sheetData>
    <row r="1" spans="1:8" s="7" customFormat="1" ht="46.2" x14ac:dyDescent="0.85">
      <c r="A1" s="2"/>
      <c r="B1" s="158" t="s">
        <v>74</v>
      </c>
      <c r="C1" s="158"/>
      <c r="D1" s="158"/>
      <c r="E1" s="158"/>
      <c r="F1" s="158"/>
      <c r="G1" s="158"/>
      <c r="H1" s="158"/>
    </row>
    <row r="2" spans="1:8" ht="46.2" x14ac:dyDescent="0.85">
      <c r="B2" s="159" t="s">
        <v>13</v>
      </c>
      <c r="C2" s="158"/>
      <c r="D2" s="158"/>
      <c r="E2" s="158"/>
      <c r="F2" s="158"/>
      <c r="G2" s="158"/>
      <c r="H2" s="158"/>
    </row>
    <row r="3" spans="1:8" ht="21" customHeight="1" x14ac:dyDescent="0.35">
      <c r="B3" s="51" t="s">
        <v>8</v>
      </c>
      <c r="C3" s="51" t="s">
        <v>61</v>
      </c>
    </row>
    <row r="4" spans="1:8" ht="22.2" customHeight="1" x14ac:dyDescent="0.35">
      <c r="B4" s="48" t="s">
        <v>44</v>
      </c>
      <c r="C4" s="11"/>
      <c r="D4" s="11"/>
      <c r="E4" s="142"/>
      <c r="F4" s="142"/>
      <c r="G4" s="11"/>
      <c r="H4" s="11"/>
    </row>
    <row r="5" spans="1:8" ht="22.2" customHeight="1" x14ac:dyDescent="0.35">
      <c r="B5" s="24"/>
      <c r="C5" s="25"/>
      <c r="D5" s="25"/>
      <c r="E5" s="143"/>
      <c r="F5" s="143"/>
      <c r="G5" s="25"/>
      <c r="H5" s="25"/>
    </row>
    <row r="6" spans="1:8" ht="33.6" customHeight="1" x14ac:dyDescent="0.35">
      <c r="B6" s="95"/>
      <c r="C6" s="96" t="s">
        <v>6</v>
      </c>
      <c r="D6" s="96" t="s">
        <v>63</v>
      </c>
      <c r="E6" s="144" t="s">
        <v>76</v>
      </c>
      <c r="F6" s="144" t="s">
        <v>77</v>
      </c>
      <c r="G6" s="96" t="s">
        <v>10</v>
      </c>
      <c r="H6" s="96" t="s">
        <v>9</v>
      </c>
    </row>
    <row r="7" spans="1:8" ht="19.95" customHeight="1" x14ac:dyDescent="0.35">
      <c r="B7" s="70" t="s">
        <v>62</v>
      </c>
      <c r="C7" s="66" t="s">
        <v>7</v>
      </c>
      <c r="D7" s="92">
        <v>6751</v>
      </c>
      <c r="E7" s="145"/>
      <c r="F7" s="145"/>
      <c r="G7" s="21"/>
      <c r="H7" s="21"/>
    </row>
    <row r="8" spans="1:8" ht="22.2" customHeight="1" x14ac:dyDescent="0.35">
      <c r="B8" s="52" t="s">
        <v>71</v>
      </c>
      <c r="C8" s="65" t="s">
        <v>7</v>
      </c>
      <c r="D8" s="91">
        <f>392+619+8+63+13</f>
        <v>1095</v>
      </c>
      <c r="E8" s="146">
        <v>160000</v>
      </c>
      <c r="F8" s="147">
        <f>3500*390</f>
        <v>1365000</v>
      </c>
      <c r="G8" s="20">
        <f>+D8*E8</f>
        <v>175200000</v>
      </c>
      <c r="H8" s="20">
        <f>+D8*F8</f>
        <v>1494675000</v>
      </c>
    </row>
    <row r="9" spans="1:8" ht="22.2" customHeight="1" x14ac:dyDescent="0.35">
      <c r="B9" s="52" t="s">
        <v>75</v>
      </c>
      <c r="C9" s="66" t="s">
        <v>7</v>
      </c>
      <c r="D9" s="92">
        <f>+D7-D8</f>
        <v>5656</v>
      </c>
      <c r="E9" s="145">
        <f>+E8</f>
        <v>160000</v>
      </c>
      <c r="F9" s="145">
        <f>3500*390</f>
        <v>1365000</v>
      </c>
      <c r="G9" s="21">
        <f>+D9*E9</f>
        <v>904960000</v>
      </c>
      <c r="H9" s="21">
        <f>+D9*F9</f>
        <v>7720440000</v>
      </c>
    </row>
    <row r="10" spans="1:8" ht="22.2" customHeight="1" x14ac:dyDescent="0.35">
      <c r="B10" s="52" t="s">
        <v>79</v>
      </c>
      <c r="C10" s="150"/>
      <c r="D10" s="91"/>
      <c r="E10" s="146"/>
      <c r="F10" s="146"/>
      <c r="G10" s="26">
        <v>300000000</v>
      </c>
      <c r="H10" s="26"/>
    </row>
    <row r="11" spans="1:8" ht="22.2" customHeight="1" x14ac:dyDescent="0.35">
      <c r="C11" s="5"/>
      <c r="D11" s="20"/>
      <c r="E11" s="147"/>
      <c r="F11" s="147"/>
      <c r="G11" s="20"/>
      <c r="H11" s="20"/>
    </row>
    <row r="12" spans="1:8" ht="22.2" customHeight="1" x14ac:dyDescent="0.35">
      <c r="B12" s="48" t="s">
        <v>12</v>
      </c>
      <c r="C12" s="6"/>
      <c r="D12" s="21"/>
      <c r="E12" s="145"/>
      <c r="F12" s="145"/>
      <c r="G12" s="21"/>
      <c r="H12" s="21"/>
    </row>
    <row r="13" spans="1:8" ht="22.2" customHeight="1" x14ac:dyDescent="0.35">
      <c r="C13" s="5"/>
      <c r="D13" s="20"/>
      <c r="E13" s="147"/>
      <c r="F13" s="147"/>
      <c r="G13" s="20">
        <v>0</v>
      </c>
      <c r="H13" s="20"/>
    </row>
    <row r="14" spans="1:8" ht="22.2" customHeight="1" x14ac:dyDescent="0.35">
      <c r="B14" s="52" t="s">
        <v>2</v>
      </c>
      <c r="C14" s="5"/>
      <c r="D14" s="20"/>
      <c r="E14" s="147"/>
      <c r="F14" s="147"/>
      <c r="G14" s="67">
        <v>75000</v>
      </c>
      <c r="H14" s="20"/>
    </row>
    <row r="15" spans="1:8" ht="22.2" customHeight="1" x14ac:dyDescent="0.35">
      <c r="B15" s="71" t="s">
        <v>3</v>
      </c>
      <c r="C15" s="6"/>
      <c r="D15" s="21"/>
      <c r="E15" s="145"/>
      <c r="F15" s="145"/>
      <c r="G15" s="21">
        <f>+G8+G9+G10</f>
        <v>1380160000</v>
      </c>
      <c r="H15" s="21"/>
    </row>
    <row r="16" spans="1:8" ht="22.2" customHeight="1" x14ac:dyDescent="0.35">
      <c r="B16" s="71" t="s">
        <v>78</v>
      </c>
      <c r="C16" s="6"/>
      <c r="D16" s="21"/>
      <c r="E16" s="145"/>
      <c r="F16" s="145"/>
      <c r="G16" s="21">
        <v>1360000</v>
      </c>
      <c r="H16" s="21"/>
    </row>
    <row r="17" spans="2:8" ht="22.2" customHeight="1" x14ac:dyDescent="0.35">
      <c r="B17" s="71" t="s">
        <v>50</v>
      </c>
      <c r="C17" s="5"/>
      <c r="D17" s="20"/>
      <c r="E17" s="147"/>
      <c r="F17" s="147"/>
      <c r="G17" s="20">
        <f>+(37325.6+20045)*10*400</f>
        <v>229482400</v>
      </c>
      <c r="H17" s="20"/>
    </row>
    <row r="18" spans="2:8" ht="22.2" customHeight="1" x14ac:dyDescent="0.35">
      <c r="B18" s="71" t="s">
        <v>81</v>
      </c>
      <c r="C18" s="5"/>
      <c r="D18" s="20"/>
      <c r="E18" s="147"/>
      <c r="F18" s="147"/>
      <c r="G18" s="20">
        <v>5079580000</v>
      </c>
      <c r="H18" s="20"/>
    </row>
    <row r="19" spans="2:8" ht="33.6" customHeight="1" x14ac:dyDescent="0.35">
      <c r="B19" s="52" t="s">
        <v>67</v>
      </c>
      <c r="C19" s="6"/>
      <c r="D19" s="21"/>
      <c r="E19" s="145"/>
      <c r="F19" s="145"/>
      <c r="G19" s="21">
        <f>+G15*0.02</f>
        <v>27603200</v>
      </c>
      <c r="H19" s="21"/>
    </row>
    <row r="20" spans="2:8" ht="22.2" customHeight="1" x14ac:dyDescent="0.35">
      <c r="C20" s="5"/>
      <c r="D20" s="20"/>
      <c r="E20" s="147"/>
      <c r="F20" s="147"/>
      <c r="G20" s="20"/>
      <c r="H20" s="20"/>
    </row>
    <row r="21" spans="2:8" ht="32.25" customHeight="1" x14ac:dyDescent="0.35">
      <c r="B21" s="151" t="s">
        <v>11</v>
      </c>
      <c r="C21" s="97"/>
      <c r="D21" s="98"/>
      <c r="E21" s="148"/>
      <c r="F21" s="149"/>
      <c r="G21" s="99">
        <f>SUM(G13:G20)</f>
        <v>6718260600</v>
      </c>
      <c r="H21" s="99">
        <f>SUM(H8:H20)</f>
        <v>9215115000</v>
      </c>
    </row>
    <row r="22" spans="2:8" ht="30" customHeight="1" x14ac:dyDescent="0.35"/>
  </sheetData>
  <mergeCells count="2">
    <mergeCell ref="B1:H1"/>
    <mergeCell ref="B2:H2"/>
  </mergeCells>
  <conditionalFormatting sqref="C21:H21">
    <cfRule type="cellIs" dxfId="8" priority="2" operator="lessThan">
      <formula>0</formula>
    </cfRule>
  </conditionalFormatting>
  <dataValidations count="2">
    <dataValidation allowBlank="1" showInputMessage="1" showErrorMessage="1" prompt="Enter the cash receipts items for each month._x000a__x000a_For Returns and allowances, enter the values as positive numbers._x000a_" sqref="B4:B5 B12" xr:uid="{00000000-0002-0000-0000-000000000000}"/>
    <dataValidation allowBlank="1" showInputMessage="1" showErrorMessage="1" promptTitle="Cash Flow Forecast Template" prompt="Enter your company name in cell B1, starting cash on hand in cell C4, starting date in cell F4, and a cash minimum balance alert in cell J4._x000a__x000a_Enter the values for your Cash Receipts and Cash Paid Out items for each month in the tables below._x000a_" sqref="A1" xr:uid="{00000000-0002-0000-0000-000001000000}"/>
  </dataValidations>
  <printOptions horizontalCentered="1"/>
  <pageMargins left="0.3" right="0.3" top="0.5" bottom="0.5" header="0.3" footer="0.3"/>
  <pageSetup scale="4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"/>
  <sheetViews>
    <sheetView zoomScale="55" zoomScaleNormal="85" workbookViewId="0">
      <selection activeCell="J4" sqref="J4"/>
    </sheetView>
  </sheetViews>
  <sheetFormatPr defaultColWidth="9" defaultRowHeight="13.8" x14ac:dyDescent="0.35"/>
  <cols>
    <col min="1" max="1" width="1.1796875" style="2" customWidth="1"/>
    <col min="2" max="2" width="69.90625" style="8" customWidth="1"/>
    <col min="3" max="3" width="12.90625" style="3" customWidth="1"/>
    <col min="4" max="4" width="13.453125" style="3" customWidth="1"/>
    <col min="5" max="5" width="21.81640625" style="3" customWidth="1"/>
    <col min="6" max="7" width="12.90625" style="3" bestFit="1" customWidth="1"/>
    <col min="8" max="8" width="12.81640625" style="3" customWidth="1"/>
    <col min="9" max="10" width="12.90625" style="3" bestFit="1" customWidth="1"/>
    <col min="11" max="11" width="13.6328125" style="3" customWidth="1"/>
    <col min="12" max="12" width="13.1796875" style="3" customWidth="1"/>
    <col min="13" max="14" width="12.90625" style="3" bestFit="1" customWidth="1"/>
    <col min="15" max="15" width="12.81640625" style="3" customWidth="1"/>
    <col min="16" max="16" width="1.81640625" style="2" customWidth="1"/>
    <col min="17" max="18" width="9" style="2"/>
    <col min="19" max="19" width="13.1796875" style="2" bestFit="1" customWidth="1"/>
    <col min="20" max="16384" width="9" style="2"/>
  </cols>
  <sheetData>
    <row r="1" spans="1:16" s="7" customFormat="1" ht="46.2" x14ac:dyDescent="0.85">
      <c r="A1" s="2"/>
      <c r="B1" s="158" t="s">
        <v>74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6" ht="46.2" x14ac:dyDescent="0.85">
      <c r="B2" s="159" t="s">
        <v>19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" t="s">
        <v>0</v>
      </c>
    </row>
    <row r="3" spans="1:16" ht="21" customHeight="1" x14ac:dyDescent="0.35">
      <c r="B3" s="51" t="s">
        <v>8</v>
      </c>
      <c r="C3" s="51" t="s">
        <v>61</v>
      </c>
    </row>
    <row r="4" spans="1:16" ht="32.25" customHeight="1" x14ac:dyDescent="0.35">
      <c r="B4" s="51" t="s">
        <v>20</v>
      </c>
      <c r="C4" s="22">
        <f>+Investment!G21</f>
        <v>6718260600</v>
      </c>
      <c r="E4" s="54" t="s">
        <v>23</v>
      </c>
      <c r="F4" s="27">
        <v>46023</v>
      </c>
      <c r="G4" s="14"/>
      <c r="H4" s="55" t="s">
        <v>22</v>
      </c>
      <c r="I4" s="58"/>
      <c r="J4" s="23">
        <v>24</v>
      </c>
      <c r="K4" s="56"/>
      <c r="L4" s="56" t="s">
        <v>25</v>
      </c>
      <c r="M4" s="56"/>
      <c r="N4" s="28">
        <v>0.12</v>
      </c>
      <c r="O4" s="14"/>
    </row>
    <row r="5" spans="1:16" ht="32.25" customHeight="1" x14ac:dyDescent="0.35">
      <c r="B5" s="12"/>
      <c r="C5" s="9"/>
      <c r="D5" s="9"/>
      <c r="E5" s="15"/>
      <c r="F5" s="16"/>
      <c r="G5" s="13"/>
      <c r="H5" s="17"/>
      <c r="I5" s="9"/>
      <c r="J5" s="9"/>
      <c r="K5" s="57"/>
      <c r="L5" s="57" t="s">
        <v>28</v>
      </c>
      <c r="M5" s="57"/>
      <c r="N5" s="28">
        <v>0.11</v>
      </c>
      <c r="O5" s="13"/>
    </row>
    <row r="6" spans="1:16" ht="22.2" customHeight="1" x14ac:dyDescent="0.3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6" s="4" customFormat="1" ht="32.25" customHeight="1" x14ac:dyDescent="0.35">
      <c r="B7" s="48" t="s">
        <v>29</v>
      </c>
      <c r="C7" s="103" t="s">
        <v>32</v>
      </c>
      <c r="D7" s="103" t="s">
        <v>33</v>
      </c>
      <c r="E7" s="103" t="s">
        <v>34</v>
      </c>
      <c r="F7" s="103" t="s">
        <v>35</v>
      </c>
      <c r="G7" s="103" t="s">
        <v>36</v>
      </c>
      <c r="H7" s="103" t="s">
        <v>37</v>
      </c>
      <c r="I7" s="103" t="s">
        <v>38</v>
      </c>
      <c r="J7" s="103" t="s">
        <v>39</v>
      </c>
      <c r="K7" s="103" t="s">
        <v>40</v>
      </c>
      <c r="L7" s="103" t="s">
        <v>41</v>
      </c>
      <c r="M7" s="103" t="s">
        <v>42</v>
      </c>
      <c r="N7" s="103" t="s">
        <v>43</v>
      </c>
      <c r="O7" s="160" t="s">
        <v>49</v>
      </c>
    </row>
    <row r="8" spans="1:16" ht="32.25" customHeight="1" x14ac:dyDescent="0.35">
      <c r="B8" s="51" t="s">
        <v>21</v>
      </c>
      <c r="C8" s="101">
        <f>C4</f>
        <v>6718260600</v>
      </c>
      <c r="D8" s="102">
        <f t="shared" ref="D8:N8" si="0">+C8-C10</f>
        <v>6438333075</v>
      </c>
      <c r="E8" s="102">
        <f t="shared" si="0"/>
        <v>6158405550</v>
      </c>
      <c r="F8" s="102">
        <f t="shared" si="0"/>
        <v>5878478025</v>
      </c>
      <c r="G8" s="102">
        <f t="shared" si="0"/>
        <v>5598550500</v>
      </c>
      <c r="H8" s="102">
        <f t="shared" si="0"/>
        <v>5318622975</v>
      </c>
      <c r="I8" s="102">
        <f t="shared" si="0"/>
        <v>5038695450</v>
      </c>
      <c r="J8" s="102">
        <f t="shared" si="0"/>
        <v>4758767925</v>
      </c>
      <c r="K8" s="102">
        <f t="shared" si="0"/>
        <v>4478840400</v>
      </c>
      <c r="L8" s="102">
        <f t="shared" si="0"/>
        <v>4198912875</v>
      </c>
      <c r="M8" s="102">
        <f t="shared" si="0"/>
        <v>3918985350</v>
      </c>
      <c r="N8" s="102">
        <f t="shared" si="0"/>
        <v>3639057825</v>
      </c>
      <c r="O8" s="160"/>
    </row>
    <row r="9" spans="1:16" ht="30" customHeight="1" x14ac:dyDescent="0.35">
      <c r="B9" s="53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6" ht="22.2" customHeight="1" x14ac:dyDescent="0.35">
      <c r="B10" s="51" t="s">
        <v>24</v>
      </c>
      <c r="C10" s="20">
        <f>C8/J4</f>
        <v>279927525</v>
      </c>
      <c r="D10" s="20">
        <f>+C10</f>
        <v>279927525</v>
      </c>
      <c r="E10" s="20">
        <f t="shared" ref="E10:N10" si="1">+D10</f>
        <v>279927525</v>
      </c>
      <c r="F10" s="20">
        <f t="shared" si="1"/>
        <v>279927525</v>
      </c>
      <c r="G10" s="20">
        <f t="shared" si="1"/>
        <v>279927525</v>
      </c>
      <c r="H10" s="20">
        <f t="shared" si="1"/>
        <v>279927525</v>
      </c>
      <c r="I10" s="20">
        <f t="shared" si="1"/>
        <v>279927525</v>
      </c>
      <c r="J10" s="20">
        <f t="shared" si="1"/>
        <v>279927525</v>
      </c>
      <c r="K10" s="20">
        <f t="shared" si="1"/>
        <v>279927525</v>
      </c>
      <c r="L10" s="20">
        <f t="shared" si="1"/>
        <v>279927525</v>
      </c>
      <c r="M10" s="20">
        <f t="shared" si="1"/>
        <v>279927525</v>
      </c>
      <c r="N10" s="20">
        <f t="shared" si="1"/>
        <v>279927525</v>
      </c>
      <c r="O10" s="105">
        <f t="shared" ref="O10:O12" si="2">SUM(C10:N10)</f>
        <v>3359130300</v>
      </c>
    </row>
    <row r="11" spans="1:16" ht="22.2" customHeight="1" x14ac:dyDescent="0.35">
      <c r="B11" s="51" t="s">
        <v>26</v>
      </c>
      <c r="C11" s="21">
        <f>+C8*$N$4/12</f>
        <v>67182606</v>
      </c>
      <c r="D11" s="21">
        <f t="shared" ref="D11:N11" si="3">+D8*$N$4/12</f>
        <v>64383330.75</v>
      </c>
      <c r="E11" s="21">
        <f t="shared" si="3"/>
        <v>61584055.5</v>
      </c>
      <c r="F11" s="21">
        <f t="shared" si="3"/>
        <v>58784780.25</v>
      </c>
      <c r="G11" s="21">
        <f>+G8*$N$4/12</f>
        <v>55985505</v>
      </c>
      <c r="H11" s="21">
        <f t="shared" si="3"/>
        <v>53186229.75</v>
      </c>
      <c r="I11" s="21">
        <f t="shared" si="3"/>
        <v>50386954.5</v>
      </c>
      <c r="J11" s="21">
        <f t="shared" si="3"/>
        <v>47587679.25</v>
      </c>
      <c r="K11" s="21">
        <f t="shared" si="3"/>
        <v>44788404</v>
      </c>
      <c r="L11" s="21">
        <f t="shared" si="3"/>
        <v>41989128.75</v>
      </c>
      <c r="M11" s="21">
        <f t="shared" si="3"/>
        <v>39189853.5</v>
      </c>
      <c r="N11" s="21">
        <f t="shared" si="3"/>
        <v>36390578.25</v>
      </c>
      <c r="O11" s="105">
        <f t="shared" si="2"/>
        <v>621439105.5</v>
      </c>
    </row>
    <row r="12" spans="1:16" ht="32.25" customHeight="1" x14ac:dyDescent="0.35">
      <c r="B12" s="47" t="s">
        <v>27</v>
      </c>
      <c r="C12" s="100">
        <f>+C10+C11</f>
        <v>347110131</v>
      </c>
      <c r="D12" s="100">
        <f t="shared" ref="D12:N12" si="4">+D10+D11</f>
        <v>344310855.75</v>
      </c>
      <c r="E12" s="100">
        <f t="shared" si="4"/>
        <v>341511580.5</v>
      </c>
      <c r="F12" s="100">
        <f t="shared" si="4"/>
        <v>338712305.25</v>
      </c>
      <c r="G12" s="100">
        <f t="shared" si="4"/>
        <v>335913030</v>
      </c>
      <c r="H12" s="100">
        <f t="shared" si="4"/>
        <v>333113754.75</v>
      </c>
      <c r="I12" s="100">
        <f t="shared" si="4"/>
        <v>330314479.5</v>
      </c>
      <c r="J12" s="100">
        <f t="shared" si="4"/>
        <v>327515204.25</v>
      </c>
      <c r="K12" s="100">
        <f t="shared" si="4"/>
        <v>324715929</v>
      </c>
      <c r="L12" s="100">
        <f t="shared" si="4"/>
        <v>321916653.75</v>
      </c>
      <c r="M12" s="100">
        <f t="shared" si="4"/>
        <v>319117378.5</v>
      </c>
      <c r="N12" s="100">
        <f t="shared" si="4"/>
        <v>316318103.25</v>
      </c>
      <c r="O12" s="105">
        <f t="shared" si="2"/>
        <v>3980569405.5</v>
      </c>
    </row>
    <row r="13" spans="1:16" ht="22.2" customHeight="1" x14ac:dyDescent="0.35">
      <c r="B13" s="53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104"/>
    </row>
    <row r="14" spans="1:16" s="4" customFormat="1" ht="32.25" customHeight="1" x14ac:dyDescent="0.35">
      <c r="B14" s="48" t="s">
        <v>30</v>
      </c>
      <c r="C14" s="103" t="str">
        <f>+C7</f>
        <v>ԱՄԻՍ 1</v>
      </c>
      <c r="D14" s="103" t="str">
        <f t="shared" ref="D14:N14" si="5">+D7</f>
        <v>ԱՄԻՍ 2</v>
      </c>
      <c r="E14" s="103" t="str">
        <f t="shared" si="5"/>
        <v>ԱՄԻՍ 3</v>
      </c>
      <c r="F14" s="103" t="str">
        <f t="shared" si="5"/>
        <v>ԱՄԻՍ 4</v>
      </c>
      <c r="G14" s="103" t="str">
        <f t="shared" si="5"/>
        <v>ԱՄԻՍ 5</v>
      </c>
      <c r="H14" s="103" t="str">
        <f t="shared" si="5"/>
        <v>ԱՄԻՍ 6</v>
      </c>
      <c r="I14" s="103" t="str">
        <f t="shared" si="5"/>
        <v>ԱՄԻՍ 7</v>
      </c>
      <c r="J14" s="103" t="str">
        <f t="shared" si="5"/>
        <v>ԱՄԻՍ 8</v>
      </c>
      <c r="K14" s="103" t="str">
        <f t="shared" si="5"/>
        <v>ԱՄԻՍ 9</v>
      </c>
      <c r="L14" s="103" t="str">
        <f t="shared" si="5"/>
        <v>ԱՄԻՍ 10</v>
      </c>
      <c r="M14" s="103" t="str">
        <f t="shared" si="5"/>
        <v>ԱՄԻՍ 11</v>
      </c>
      <c r="N14" s="103" t="str">
        <f t="shared" si="5"/>
        <v>ԱՄԻՍ 12</v>
      </c>
      <c r="O14" s="160" t="s">
        <v>49</v>
      </c>
    </row>
    <row r="15" spans="1:16" ht="32.25" customHeight="1" x14ac:dyDescent="0.35">
      <c r="B15" s="51" t="s">
        <v>21</v>
      </c>
      <c r="C15" s="101">
        <f>+N8-N10</f>
        <v>3359130300</v>
      </c>
      <c r="D15" s="102">
        <f t="shared" ref="D15:N15" si="6">+C15-C17</f>
        <v>3079202775</v>
      </c>
      <c r="E15" s="102">
        <f t="shared" si="6"/>
        <v>2799275250</v>
      </c>
      <c r="F15" s="102">
        <f t="shared" si="6"/>
        <v>2519347725</v>
      </c>
      <c r="G15" s="102">
        <f t="shared" si="6"/>
        <v>2239420200</v>
      </c>
      <c r="H15" s="102">
        <f t="shared" si="6"/>
        <v>1959492675</v>
      </c>
      <c r="I15" s="102">
        <f t="shared" si="6"/>
        <v>1679565150</v>
      </c>
      <c r="J15" s="102">
        <f t="shared" si="6"/>
        <v>1399637625</v>
      </c>
      <c r="K15" s="102">
        <f t="shared" si="6"/>
        <v>1119710100</v>
      </c>
      <c r="L15" s="102">
        <f t="shared" si="6"/>
        <v>839782575</v>
      </c>
      <c r="M15" s="102">
        <f t="shared" si="6"/>
        <v>559855050</v>
      </c>
      <c r="N15" s="102">
        <f t="shared" si="6"/>
        <v>279927525</v>
      </c>
      <c r="O15" s="160"/>
    </row>
    <row r="16" spans="1:16" ht="30" customHeight="1" x14ac:dyDescent="0.35">
      <c r="B16" s="53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2:19" ht="22.2" customHeight="1" x14ac:dyDescent="0.35">
      <c r="B17" s="51" t="s">
        <v>24</v>
      </c>
      <c r="C17" s="20">
        <f>+C10</f>
        <v>279927525</v>
      </c>
      <c r="D17" s="20">
        <f>+C17</f>
        <v>279927525</v>
      </c>
      <c r="E17" s="20">
        <f t="shared" ref="E17" si="7">+D17</f>
        <v>279927525</v>
      </c>
      <c r="F17" s="20">
        <f t="shared" ref="F17" si="8">+E17</f>
        <v>279927525</v>
      </c>
      <c r="G17" s="20">
        <f t="shared" ref="G17" si="9">+F17</f>
        <v>279927525</v>
      </c>
      <c r="H17" s="20">
        <f t="shared" ref="H17" si="10">+G17</f>
        <v>279927525</v>
      </c>
      <c r="I17" s="20">
        <f t="shared" ref="I17" si="11">+H17</f>
        <v>279927525</v>
      </c>
      <c r="J17" s="20">
        <f t="shared" ref="J17" si="12">+I17</f>
        <v>279927525</v>
      </c>
      <c r="K17" s="20">
        <f t="shared" ref="K17" si="13">+J17</f>
        <v>279927525</v>
      </c>
      <c r="L17" s="20">
        <f t="shared" ref="L17" si="14">+K17</f>
        <v>279927525</v>
      </c>
      <c r="M17" s="20">
        <f t="shared" ref="M17" si="15">+L17</f>
        <v>279927525</v>
      </c>
      <c r="N17" s="20">
        <f t="shared" ref="N17" si="16">+M17</f>
        <v>279927525</v>
      </c>
      <c r="O17" s="105">
        <f t="shared" ref="O17:O19" si="17">SUM(C17:N17)</f>
        <v>3359130300</v>
      </c>
    </row>
    <row r="18" spans="2:19" ht="22.2" customHeight="1" x14ac:dyDescent="0.35">
      <c r="B18" s="51" t="s">
        <v>26</v>
      </c>
      <c r="C18" s="21">
        <f t="shared" ref="C18:N18" si="18">+C15*$N$4/12</f>
        <v>33591303</v>
      </c>
      <c r="D18" s="21">
        <f t="shared" si="18"/>
        <v>30792027.75</v>
      </c>
      <c r="E18" s="21">
        <f t="shared" si="18"/>
        <v>27992752.5</v>
      </c>
      <c r="F18" s="21">
        <f t="shared" si="18"/>
        <v>25193477.25</v>
      </c>
      <c r="G18" s="21">
        <f t="shared" si="18"/>
        <v>22394202</v>
      </c>
      <c r="H18" s="21">
        <f t="shared" si="18"/>
        <v>19594926.75</v>
      </c>
      <c r="I18" s="21">
        <f t="shared" si="18"/>
        <v>16795651.5</v>
      </c>
      <c r="J18" s="21">
        <f t="shared" si="18"/>
        <v>13996376.25</v>
      </c>
      <c r="K18" s="21">
        <f t="shared" si="18"/>
        <v>11197101</v>
      </c>
      <c r="L18" s="21">
        <f t="shared" si="18"/>
        <v>8397825.75</v>
      </c>
      <c r="M18" s="21">
        <f t="shared" si="18"/>
        <v>5598550.5</v>
      </c>
      <c r="N18" s="21">
        <f t="shared" si="18"/>
        <v>2799275.25</v>
      </c>
      <c r="O18" s="105">
        <f t="shared" si="17"/>
        <v>218343469.5</v>
      </c>
      <c r="S18" s="43"/>
    </row>
    <row r="19" spans="2:19" ht="32.25" customHeight="1" x14ac:dyDescent="0.35">
      <c r="B19" s="47" t="s">
        <v>27</v>
      </c>
      <c r="C19" s="100">
        <f>+C17+C18</f>
        <v>313518828</v>
      </c>
      <c r="D19" s="100">
        <f t="shared" ref="D19" si="19">+D17+D18</f>
        <v>310719552.75</v>
      </c>
      <c r="E19" s="100">
        <f t="shared" ref="E19" si="20">+E17+E18</f>
        <v>307920277.5</v>
      </c>
      <c r="F19" s="100">
        <f t="shared" ref="F19" si="21">+F17+F18</f>
        <v>305121002.25</v>
      </c>
      <c r="G19" s="100">
        <f t="shared" ref="G19" si="22">+G17+G18</f>
        <v>302321727</v>
      </c>
      <c r="H19" s="100">
        <f t="shared" ref="H19" si="23">+H17+H18</f>
        <v>299522451.75</v>
      </c>
      <c r="I19" s="100">
        <f t="shared" ref="I19" si="24">+I17+I18</f>
        <v>296723176.5</v>
      </c>
      <c r="J19" s="100">
        <f t="shared" ref="J19" si="25">+J17+J18</f>
        <v>293923901.25</v>
      </c>
      <c r="K19" s="100">
        <f t="shared" ref="K19" si="26">+K17+K18</f>
        <v>291124626</v>
      </c>
      <c r="L19" s="100">
        <f t="shared" ref="L19" si="27">+L17+L18</f>
        <v>288325350.75</v>
      </c>
      <c r="M19" s="100">
        <f t="shared" ref="M19" si="28">+M17+M18</f>
        <v>285526075.5</v>
      </c>
      <c r="N19" s="100">
        <f t="shared" ref="N19" si="29">+N17+N18</f>
        <v>282726800.25</v>
      </c>
      <c r="O19" s="105">
        <f t="shared" si="17"/>
        <v>3577473769.5</v>
      </c>
    </row>
    <row r="20" spans="2:19" s="72" customFormat="1" ht="32.25" customHeight="1" x14ac:dyDescent="0.35">
      <c r="B20" s="73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5"/>
    </row>
    <row r="21" spans="2:19" s="72" customFormat="1" ht="47.4" customHeight="1" x14ac:dyDescent="0.35">
      <c r="B21" s="70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75"/>
    </row>
    <row r="22" spans="2:19" s="72" customFormat="1" ht="32.25" customHeight="1" x14ac:dyDescent="0.35">
      <c r="B22" s="73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5"/>
    </row>
    <row r="23" spans="2:19" s="72" customFormat="1" x14ac:dyDescent="0.35">
      <c r="B23" s="76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</row>
  </sheetData>
  <mergeCells count="4">
    <mergeCell ref="B1:O1"/>
    <mergeCell ref="B2:O2"/>
    <mergeCell ref="O7:O8"/>
    <mergeCell ref="O14:O15"/>
  </mergeCells>
  <phoneticPr fontId="9" type="noConversion"/>
  <conditionalFormatting sqref="C8:N8">
    <cfRule type="expression" dxfId="7" priority="25">
      <formula>C8&lt;Cash_Minimum</formula>
    </cfRule>
  </conditionalFormatting>
  <conditionalFormatting sqref="C15:N15">
    <cfRule type="expression" dxfId="6" priority="24">
      <formula>C15&lt;Cash_Minimum</formula>
    </cfRule>
  </conditionalFormatting>
  <conditionalFormatting sqref="C20:O20">
    <cfRule type="cellIs" dxfId="5" priority="8" operator="lessThan">
      <formula>0</formula>
    </cfRule>
  </conditionalFormatting>
  <conditionalFormatting sqref="O10:O13 C12:N12 O17:O19 C19:N19">
    <cfRule type="cellIs" dxfId="4" priority="26" operator="lessThan">
      <formula>0</formula>
    </cfRule>
  </conditionalFormatting>
  <conditionalFormatting sqref="O21:O22 C22:N22">
    <cfRule type="cellIs" dxfId="3" priority="6" operator="lessThan">
      <formula>0</formula>
    </cfRule>
  </conditionalFormatting>
  <dataValidations count="5">
    <dataValidation allowBlank="1" showInputMessage="1" showErrorMessage="1" prompt="Enter the cash receipts items for each month._x000a__x000a_For Returns and allowances, enter the values as positive numbers._x000a_" sqref="B7 B14" xr:uid="{00000000-0002-0000-0100-000000000000}"/>
    <dataValidation allowBlank="1" showInputMessage="1" showErrorMessage="1" prompt="Enter a minimum balance alert. The template will highlight if the cash balance is below the alert minimum value." sqref="J4 N4:N5" xr:uid="{00000000-0002-0000-0100-000001000000}"/>
    <dataValidation allowBlank="1" showInputMessage="1" showErrorMessage="1" prompt="Enter a starting date from when a one-year forecast schedule will begin" sqref="F4" xr:uid="{00000000-0002-0000-0100-000002000000}"/>
    <dataValidation allowBlank="1" showInputMessage="1" showErrorMessage="1" prompt="Enter the starting cash amount during the starting date" sqref="C4" xr:uid="{00000000-0002-0000-0100-000003000000}"/>
    <dataValidation allowBlank="1" showInputMessage="1" showErrorMessage="1" promptTitle="Cash Flow Forecast Template" prompt="Enter your company name in cell B1, starting cash on hand in cell C4, starting date in cell F4, and a cash minimum balance alert in cell J4._x000a__x000a_Enter the values for your Cash Receipts and Cash Paid Out items for each month in the tables below._x000a_" sqref="A1" xr:uid="{00000000-0002-0000-0100-000004000000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43"/>
  <sheetViews>
    <sheetView showGridLines="0" topLeftCell="C1" zoomScale="52" zoomScaleNormal="85" workbookViewId="0">
      <selection activeCell="D29" sqref="D29"/>
    </sheetView>
  </sheetViews>
  <sheetFormatPr defaultColWidth="9" defaultRowHeight="22.2" customHeight="1" x14ac:dyDescent="0.35"/>
  <cols>
    <col min="1" max="1" width="1.81640625" style="2" customWidth="1"/>
    <col min="2" max="2" width="59.7265625" style="88" customWidth="1"/>
    <col min="3" max="5" width="38.90625" style="3" customWidth="1"/>
    <col min="6" max="6" width="27" style="2" customWidth="1"/>
    <col min="7" max="7" width="14.1796875" style="2" bestFit="1" customWidth="1"/>
    <col min="8" max="16384" width="9" style="2"/>
  </cols>
  <sheetData>
    <row r="1" spans="1:7" s="7" customFormat="1" ht="46.2" x14ac:dyDescent="0.85">
      <c r="A1" s="2"/>
      <c r="B1" s="158" t="s">
        <v>74</v>
      </c>
      <c r="C1" s="158"/>
      <c r="D1" s="158"/>
      <c r="E1" s="158"/>
      <c r="F1" s="158"/>
    </row>
    <row r="2" spans="1:7" ht="46.2" x14ac:dyDescent="0.85">
      <c r="B2" s="159" t="s">
        <v>16</v>
      </c>
      <c r="C2" s="158"/>
      <c r="D2" s="158"/>
      <c r="E2" s="158"/>
      <c r="F2" s="106" t="s">
        <v>0</v>
      </c>
    </row>
    <row r="3" spans="1:7" ht="21" customHeight="1" x14ac:dyDescent="0.35">
      <c r="B3" s="80" t="s">
        <v>8</v>
      </c>
      <c r="C3" s="51" t="s">
        <v>61</v>
      </c>
      <c r="D3" s="30"/>
      <c r="E3" s="30"/>
    </row>
    <row r="4" spans="1:7" ht="32.25" customHeight="1" x14ac:dyDescent="0.35">
      <c r="B4" s="81" t="s">
        <v>31</v>
      </c>
      <c r="C4" s="31">
        <v>10000</v>
      </c>
      <c r="D4" s="30"/>
      <c r="E4" s="33"/>
    </row>
    <row r="5" spans="1:7" ht="32.25" customHeight="1" x14ac:dyDescent="0.35">
      <c r="B5" s="34"/>
      <c r="C5" s="34"/>
      <c r="D5" s="34"/>
      <c r="E5" s="35"/>
    </row>
    <row r="6" spans="1:7" ht="22.2" customHeight="1" x14ac:dyDescent="0.35">
      <c r="A6" s="1"/>
      <c r="B6" s="32"/>
      <c r="C6" s="36"/>
      <c r="D6" s="36"/>
      <c r="E6" s="36"/>
    </row>
    <row r="7" spans="1:7" s="4" customFormat="1" ht="32.25" customHeight="1" x14ac:dyDescent="0.35">
      <c r="B7" s="32"/>
      <c r="C7" s="107" t="s">
        <v>29</v>
      </c>
      <c r="D7" s="108" t="s">
        <v>30</v>
      </c>
      <c r="E7" s="161" t="s">
        <v>48</v>
      </c>
    </row>
    <row r="8" spans="1:7" ht="32.25" customHeight="1" x14ac:dyDescent="0.35">
      <c r="B8" s="82" t="s">
        <v>45</v>
      </c>
      <c r="C8" s="109">
        <f>C4</f>
        <v>10000</v>
      </c>
      <c r="D8" s="110">
        <f>C40</f>
        <v>6367973291.208334</v>
      </c>
      <c r="E8" s="161"/>
    </row>
    <row r="9" spans="1:7" ht="30" customHeight="1" x14ac:dyDescent="0.35">
      <c r="B9" s="32"/>
      <c r="C9" s="37"/>
      <c r="D9" s="37"/>
      <c r="E9" s="37"/>
    </row>
    <row r="10" spans="1:7" ht="22.2" customHeight="1" x14ac:dyDescent="0.35">
      <c r="B10" s="83" t="s">
        <v>46</v>
      </c>
      <c r="C10" s="152"/>
      <c r="D10" s="152"/>
      <c r="E10" s="38"/>
    </row>
    <row r="11" spans="1:7" ht="19.95" customHeight="1" x14ac:dyDescent="0.35">
      <c r="B11" s="32"/>
      <c r="C11" s="78"/>
      <c r="D11" s="78"/>
      <c r="E11" s="37"/>
    </row>
    <row r="12" spans="1:7" ht="22.2" customHeight="1" x14ac:dyDescent="0.35">
      <c r="B12" s="84" t="str">
        <f>+Investment!B8</f>
        <v>Հասարակական տարածք  և գրասենյակ՝ վաճառք</v>
      </c>
      <c r="C12" s="134">
        <f>0.5*Investment!$H8</f>
        <v>747337500</v>
      </c>
      <c r="D12" s="134">
        <f>0.5*Investment!$H8</f>
        <v>747337500</v>
      </c>
      <c r="E12" s="116">
        <f>SUM(C12:D12)</f>
        <v>1494675000</v>
      </c>
    </row>
    <row r="13" spans="1:7" ht="22.2" customHeight="1" x14ac:dyDescent="0.35">
      <c r="B13" s="84" t="str">
        <f>+Investment!B9</f>
        <v>Ապարթ հոթել՝ վաճառք</v>
      </c>
      <c r="C13" s="134">
        <f>0.5*Investment!$H9</f>
        <v>3860220000</v>
      </c>
      <c r="D13" s="134">
        <f>0.5*Investment!$H9</f>
        <v>3860220000</v>
      </c>
      <c r="E13" s="116">
        <f>SUM(C13:D13)</f>
        <v>7720440000</v>
      </c>
    </row>
    <row r="14" spans="1:7" ht="22.2" customHeight="1" x14ac:dyDescent="0.35">
      <c r="B14" s="80"/>
      <c r="C14" s="153"/>
      <c r="D14" s="153"/>
      <c r="E14" s="116">
        <f>SUM(C14:D14)</f>
        <v>0</v>
      </c>
      <c r="G14" s="43"/>
    </row>
    <row r="15" spans="1:7" ht="22.2" customHeight="1" x14ac:dyDescent="0.35">
      <c r="B15" s="84" t="s">
        <v>14</v>
      </c>
      <c r="C15" s="93">
        <f>+Credit!C4</f>
        <v>6718260600</v>
      </c>
      <c r="D15" s="93"/>
      <c r="E15" s="116">
        <f>SUM(C15:D15)</f>
        <v>6718260600</v>
      </c>
    </row>
    <row r="16" spans="1:7" ht="22.2" customHeight="1" x14ac:dyDescent="0.35">
      <c r="B16" s="84" t="s">
        <v>15</v>
      </c>
      <c r="C16" s="40">
        <f>AVERAGE(Credit!$C8:$N8)*Credit!$N$5</f>
        <v>569652513.375</v>
      </c>
      <c r="D16" s="40">
        <f>AVERAGE(Credit!$C15:$N15)*Credit!$N$5</f>
        <v>200148180.375</v>
      </c>
      <c r="E16" s="116">
        <f>SUM(C16:D16)</f>
        <v>769800693.75</v>
      </c>
      <c r="G16" s="94"/>
    </row>
    <row r="17" spans="2:7" ht="32.25" customHeight="1" x14ac:dyDescent="0.35">
      <c r="B17" s="85" t="s">
        <v>1</v>
      </c>
      <c r="C17" s="111">
        <f>SUM(C12:C16)</f>
        <v>11895470613.375</v>
      </c>
      <c r="D17" s="112">
        <f>SUM(D12:D16)</f>
        <v>4807705680.375</v>
      </c>
      <c r="E17" s="113">
        <f>SUM(E12:E16)</f>
        <v>16703176293.75</v>
      </c>
      <c r="G17" s="43"/>
    </row>
    <row r="18" spans="2:7" ht="32.25" customHeight="1" x14ac:dyDescent="0.35">
      <c r="B18" s="86"/>
      <c r="C18" s="114"/>
      <c r="D18" s="115"/>
      <c r="E18" s="115"/>
    </row>
    <row r="19" spans="2:7" ht="30" customHeight="1" x14ac:dyDescent="0.35">
      <c r="B19" s="32"/>
      <c r="C19" s="37"/>
      <c r="D19" s="37"/>
      <c r="E19" s="37"/>
    </row>
    <row r="20" spans="2:7" ht="22.2" customHeight="1" x14ac:dyDescent="0.35">
      <c r="B20" s="83" t="s">
        <v>47</v>
      </c>
      <c r="C20" s="41"/>
      <c r="D20" s="41"/>
      <c r="E20" s="41"/>
    </row>
    <row r="21" spans="2:7" ht="19.95" customHeight="1" x14ac:dyDescent="0.35">
      <c r="B21" s="32"/>
      <c r="C21" s="37"/>
      <c r="D21" s="37"/>
      <c r="E21" s="37"/>
    </row>
    <row r="22" spans="2:7" ht="22.2" customHeight="1" x14ac:dyDescent="0.35">
      <c r="B22" s="32"/>
      <c r="C22" s="39"/>
      <c r="D22" s="39"/>
      <c r="E22" s="116">
        <f>SUM(C22:D22)</f>
        <v>0</v>
      </c>
    </row>
    <row r="23" spans="2:7" ht="22.2" customHeight="1" x14ac:dyDescent="0.35">
      <c r="B23" s="80" t="str">
        <f>+Investment!B14</f>
        <v>ԱՊԶ - հասարակական տարածքներ</v>
      </c>
      <c r="C23" s="93">
        <f>+Investment!G14</f>
        <v>75000</v>
      </c>
      <c r="D23" s="93"/>
      <c r="E23" s="119">
        <f>SUM(C23:D23)</f>
        <v>75000</v>
      </c>
    </row>
    <row r="24" spans="2:7" ht="22.2" customHeight="1" x14ac:dyDescent="0.35">
      <c r="B24" s="80" t="str">
        <f>+Investment!B15</f>
        <v>Շինարարության ծախսեր</v>
      </c>
      <c r="C24" s="93">
        <f>+Investment!G15/2</f>
        <v>690080000</v>
      </c>
      <c r="D24" s="93">
        <f>+C24</f>
        <v>690080000</v>
      </c>
      <c r="E24" s="119">
        <f>SUM(C24:D24)</f>
        <v>1380160000</v>
      </c>
    </row>
    <row r="25" spans="2:7" ht="22.2" customHeight="1" x14ac:dyDescent="0.35">
      <c r="B25" s="80" t="s">
        <v>80</v>
      </c>
      <c r="C25" s="93">
        <f>+Investment!G17+Investment!G16</f>
        <v>230842400</v>
      </c>
      <c r="D25" s="93"/>
      <c r="E25" s="119">
        <f>SUM(C25:D25)</f>
        <v>230842400</v>
      </c>
    </row>
    <row r="26" spans="2:7" ht="22.2" customHeight="1" x14ac:dyDescent="0.35">
      <c r="B26" s="80" t="str">
        <f>+Investment!B19</f>
        <v>Այլ ծախսեր (մարքեթինգ, վարչական, չնախատեսված, այլն)</v>
      </c>
      <c r="C26" s="93">
        <f>+C24*0.02</f>
        <v>13801600</v>
      </c>
      <c r="D26" s="93">
        <f>+C26</f>
        <v>13801600</v>
      </c>
      <c r="E26" s="119">
        <f>SUM(C26:D26)</f>
        <v>27603200</v>
      </c>
    </row>
    <row r="27" spans="2:7" ht="22.2" customHeight="1" x14ac:dyDescent="0.35">
      <c r="B27" s="80"/>
      <c r="C27" s="93"/>
      <c r="D27" s="93"/>
      <c r="E27" s="119">
        <f t="shared" ref="E27:E33" si="0">SUM(C27:D27)</f>
        <v>0</v>
      </c>
    </row>
    <row r="28" spans="2:7" ht="22.2" customHeight="1" x14ac:dyDescent="0.35">
      <c r="B28" s="80" t="s">
        <v>68</v>
      </c>
      <c r="C28" s="93">
        <f>+(SUM(C12:C13)/6)-(+SUM(C24:C26)/6)</f>
        <v>612138916.66666663</v>
      </c>
      <c r="D28" s="93">
        <f>+(SUM(D12:D13)/6)-(+SUM(D24:D26)/6)</f>
        <v>650612650</v>
      </c>
      <c r="E28" s="119">
        <f t="shared" si="0"/>
        <v>1262751566.6666665</v>
      </c>
    </row>
    <row r="29" spans="2:7" ht="22.2" customHeight="1" x14ac:dyDescent="0.35">
      <c r="B29" s="80" t="s">
        <v>69</v>
      </c>
      <c r="C29" s="93">
        <f>+'Income Statement'!C29</f>
        <v>0</v>
      </c>
      <c r="D29" s="93">
        <f>+'Income Statement'!D29</f>
        <v>582276232.95749998</v>
      </c>
      <c r="E29" s="119">
        <f t="shared" si="0"/>
        <v>582276232.95749998</v>
      </c>
    </row>
    <row r="30" spans="2:7" ht="22.2" customHeight="1" x14ac:dyDescent="0.35">
      <c r="B30" s="80"/>
      <c r="C30" s="135"/>
      <c r="D30" s="135"/>
      <c r="E30" s="119">
        <f t="shared" si="0"/>
        <v>0</v>
      </c>
    </row>
    <row r="31" spans="2:7" ht="22.2" customHeight="1" x14ac:dyDescent="0.35">
      <c r="B31" s="80" t="s">
        <v>17</v>
      </c>
      <c r="C31" s="93">
        <f>+Credit!O11</f>
        <v>621439105.5</v>
      </c>
      <c r="D31" s="93">
        <f>+Credit!O18</f>
        <v>218343469.5</v>
      </c>
      <c r="E31" s="119">
        <f t="shared" si="0"/>
        <v>839782575</v>
      </c>
    </row>
    <row r="32" spans="2:7" ht="22.2" customHeight="1" x14ac:dyDescent="0.35">
      <c r="B32" s="32"/>
      <c r="C32" s="93"/>
      <c r="D32" s="93"/>
      <c r="E32" s="119">
        <f t="shared" si="0"/>
        <v>0</v>
      </c>
    </row>
    <row r="33" spans="2:5" ht="22.2" customHeight="1" x14ac:dyDescent="0.35">
      <c r="B33" s="32"/>
      <c r="C33" s="39"/>
      <c r="D33" s="39"/>
      <c r="E33" s="119">
        <f t="shared" si="0"/>
        <v>0</v>
      </c>
    </row>
    <row r="34" spans="2:5" ht="30" customHeight="1" x14ac:dyDescent="0.35">
      <c r="B34" s="117" t="s">
        <v>70</v>
      </c>
      <c r="C34" s="118">
        <f>SUM(C22:C33)</f>
        <v>2168377022.1666665</v>
      </c>
      <c r="D34" s="118">
        <f>SUM(D22:D33)</f>
        <v>2155113952.4575</v>
      </c>
      <c r="E34" s="119">
        <f>SUM(C34:D34)</f>
        <v>4323490974.6241665</v>
      </c>
    </row>
    <row r="35" spans="2:5" ht="19.95" customHeight="1" x14ac:dyDescent="0.35">
      <c r="B35" s="32"/>
      <c r="C35" s="37"/>
      <c r="D35" s="37"/>
      <c r="E35" s="37"/>
    </row>
    <row r="36" spans="2:5" ht="22.2" customHeight="1" x14ac:dyDescent="0.35">
      <c r="B36" s="87" t="s">
        <v>18</v>
      </c>
      <c r="C36" s="42">
        <f>+Credit!$O10</f>
        <v>3359130300</v>
      </c>
      <c r="D36" s="42">
        <f>+Credit!$O17</f>
        <v>3359130300</v>
      </c>
      <c r="E36" s="125">
        <f>SUM(C36:D36)</f>
        <v>6718260600</v>
      </c>
    </row>
    <row r="37" spans="2:5" ht="22.2" customHeight="1" x14ac:dyDescent="0.35">
      <c r="B37" s="32"/>
      <c r="C37" s="93"/>
      <c r="D37" s="93"/>
      <c r="E37" s="119">
        <f>SUM(C37:D37)</f>
        <v>0</v>
      </c>
    </row>
    <row r="38" spans="2:5" ht="22.2" customHeight="1" x14ac:dyDescent="0.35">
      <c r="B38" s="32"/>
      <c r="C38" s="136"/>
      <c r="D38" s="93"/>
      <c r="E38" s="126">
        <f>SUM(C38:D38)</f>
        <v>0</v>
      </c>
    </row>
    <row r="39" spans="2:5" ht="30" customHeight="1" x14ac:dyDescent="0.35">
      <c r="B39" s="85" t="s">
        <v>4</v>
      </c>
      <c r="C39" s="120">
        <f>+C34+C36</f>
        <v>5527507322.166666</v>
      </c>
      <c r="D39" s="120">
        <f>+D34+D36</f>
        <v>5514244252.4575005</v>
      </c>
      <c r="E39" s="121">
        <f>+E34+E36</f>
        <v>11041751574.624166</v>
      </c>
    </row>
    <row r="40" spans="2:5" ht="30" customHeight="1" x14ac:dyDescent="0.35">
      <c r="B40" s="85" t="s">
        <v>5</v>
      </c>
      <c r="C40" s="122">
        <f>+C8+C17-C39</f>
        <v>6367973291.208334</v>
      </c>
      <c r="D40" s="122">
        <f>+D8+D17-D39</f>
        <v>5661434719.1258335</v>
      </c>
      <c r="E40" s="122">
        <f>+E8+E17-E39</f>
        <v>5661424719.1258335</v>
      </c>
    </row>
    <row r="41" spans="2:5" ht="30" customHeight="1" x14ac:dyDescent="0.35">
      <c r="B41" s="90" t="s">
        <v>72</v>
      </c>
      <c r="C41" s="123">
        <f>+C17-C39</f>
        <v>6367963291.208334</v>
      </c>
      <c r="D41" s="123">
        <f>+D17-D39</f>
        <v>-706538572.08250046</v>
      </c>
      <c r="E41" s="124"/>
    </row>
    <row r="42" spans="2:5" ht="22.2" customHeight="1" x14ac:dyDescent="0.35">
      <c r="B42" s="89"/>
      <c r="C42" s="19"/>
      <c r="D42" s="19"/>
      <c r="E42" s="19"/>
    </row>
    <row r="43" spans="2:5" ht="19.95" customHeight="1" x14ac:dyDescent="0.35">
      <c r="C43" s="18"/>
      <c r="D43" s="18"/>
      <c r="E43" s="18"/>
    </row>
  </sheetData>
  <mergeCells count="3">
    <mergeCell ref="E7:E8"/>
    <mergeCell ref="B2:E2"/>
    <mergeCell ref="B1:F1"/>
  </mergeCells>
  <phoneticPr fontId="9" type="noConversion"/>
  <conditionalFormatting sqref="C8:D8">
    <cfRule type="expression" dxfId="2" priority="1">
      <formula>C8&lt;Cash_Minimum</formula>
    </cfRule>
  </conditionalFormatting>
  <conditionalFormatting sqref="E12:E17 C17:D17 C18:E18 E22:E34 C34:D34 E36:E40 C39:D40">
    <cfRule type="cellIs" dxfId="1" priority="2" operator="lessThan">
      <formula>0</formula>
    </cfRule>
  </conditionalFormatting>
  <dataValidations count="5">
    <dataValidation allowBlank="1" showInputMessage="1" showErrorMessage="1" promptTitle="Cash Flow Forecast Template" prompt="Enter your company name in cell B1, starting cash on hand in cell C4, starting date in cell F4, and a cash minimum balance alert in cell J4._x000a__x000a_Enter the values for your Cash Receipts and Cash Paid Out items for each month in the tables below._x000a_" sqref="A1" xr:uid="{00000000-0002-0000-0200-000001000000}"/>
    <dataValidation allowBlank="1" showInputMessage="1" showErrorMessage="1" prompt="Enter the starting cash amount during the starting date" sqref="C4" xr:uid="{00000000-0002-0000-0200-000002000000}"/>
    <dataValidation allowBlank="1" showInputMessage="1" showErrorMessage="1" prompt="Enter the cash receipts items for each month._x000a__x000a_For Returns and allowances, enter the values as positive numbers._x000a_" sqref="B10" xr:uid="{00000000-0002-0000-0200-000003000000}"/>
    <dataValidation allowBlank="1" showInputMessage="1" showErrorMessage="1" prompt="Enter the cash paid out items for each month_x000a_" sqref="B20" xr:uid="{00000000-0002-0000-0200-000004000000}"/>
    <dataValidation allowBlank="1" showInputMessage="1" showErrorMessage="1" prompt="Enter other operating values that you want to track across each month" sqref="B42" xr:uid="{00000000-0002-0000-0200-000005000000}"/>
  </dataValidations>
  <printOptions horizontalCentered="1"/>
  <pageMargins left="0.3" right="0.3" top="0.5" bottom="0.5" header="0.3" footer="0.3"/>
  <pageSetup scale="4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5"/>
  <sheetViews>
    <sheetView showGridLines="0" topLeftCell="A8" zoomScale="52" zoomScaleNormal="85" workbookViewId="0">
      <selection activeCell="C22" sqref="C22"/>
    </sheetView>
  </sheetViews>
  <sheetFormatPr defaultColWidth="9" defaultRowHeight="22.2" customHeight="1" x14ac:dyDescent="0.35"/>
  <cols>
    <col min="1" max="1" width="1.81640625" style="2" customWidth="1"/>
    <col min="2" max="2" width="56.453125" style="8" customWidth="1"/>
    <col min="3" max="5" width="38.90625" style="3" customWidth="1"/>
    <col min="6" max="6" width="1.81640625" style="2" customWidth="1"/>
    <col min="7" max="7" width="12.453125" style="2" bestFit="1" customWidth="1"/>
    <col min="8" max="8" width="13.1796875" style="2" bestFit="1" customWidth="1"/>
    <col min="9" max="16384" width="9" style="2"/>
  </cols>
  <sheetData>
    <row r="1" spans="1:8" s="7" customFormat="1" ht="46.2" x14ac:dyDescent="0.85">
      <c r="A1" s="2"/>
      <c r="B1" s="155" t="s">
        <v>74</v>
      </c>
      <c r="C1" s="155"/>
      <c r="D1" s="155"/>
      <c r="E1" s="155"/>
    </row>
    <row r="2" spans="1:8" ht="46.2" x14ac:dyDescent="0.85">
      <c r="B2" s="154" t="s">
        <v>52</v>
      </c>
      <c r="C2" s="155"/>
      <c r="D2" s="155"/>
      <c r="E2" s="155"/>
      <c r="F2" s="2" t="s">
        <v>0</v>
      </c>
    </row>
    <row r="3" spans="1:8" ht="21" customHeight="1" x14ac:dyDescent="0.35">
      <c r="B3" s="29"/>
      <c r="C3" s="30"/>
      <c r="D3" s="30"/>
      <c r="E3" s="30"/>
    </row>
    <row r="4" spans="1:8" ht="30" customHeight="1" x14ac:dyDescent="0.35">
      <c r="B4" s="51" t="s">
        <v>8</v>
      </c>
      <c r="C4" s="51" t="s">
        <v>61</v>
      </c>
      <c r="D4" s="37"/>
      <c r="E4" s="37"/>
    </row>
    <row r="5" spans="1:8" ht="22.2" customHeight="1" x14ac:dyDescent="0.35">
      <c r="B5" s="59" t="s">
        <v>53</v>
      </c>
      <c r="C5" s="127" t="s">
        <v>29</v>
      </c>
      <c r="D5" s="128" t="s">
        <v>30</v>
      </c>
      <c r="E5" s="38"/>
    </row>
    <row r="6" spans="1:8" ht="19.95" customHeight="1" x14ac:dyDescent="0.35">
      <c r="B6" s="62"/>
      <c r="C6" s="37"/>
      <c r="D6" s="37"/>
      <c r="E6" s="37"/>
    </row>
    <row r="7" spans="1:8" ht="22.2" customHeight="1" x14ac:dyDescent="0.35">
      <c r="B7" s="61" t="str">
        <f>+Investment!B8</f>
        <v>Հասարակական տարածք  և գրասենյակ՝ վաճառք</v>
      </c>
      <c r="C7" s="39">
        <f>+'Cash flow'!C12/6*5</f>
        <v>622781250</v>
      </c>
      <c r="D7" s="39">
        <f>+'Cash flow'!D12/6*5</f>
        <v>622781250</v>
      </c>
      <c r="E7" s="116">
        <f>SUM(C7:D7)</f>
        <v>1245562500</v>
      </c>
      <c r="H7" s="43"/>
    </row>
    <row r="8" spans="1:8" ht="22.2" customHeight="1" x14ac:dyDescent="0.35">
      <c r="B8" s="61" t="str">
        <f>+Investment!B9</f>
        <v>Ապարթ հոթել՝ վաճառք</v>
      </c>
      <c r="C8" s="39">
        <f>+'Cash flow'!C13/6*5</f>
        <v>3216850000</v>
      </c>
      <c r="D8" s="39">
        <f>+'Cash flow'!D13/6*5</f>
        <v>3216850000</v>
      </c>
      <c r="E8" s="116">
        <f>SUM(C8:D8)</f>
        <v>6433700000</v>
      </c>
    </row>
    <row r="9" spans="1:8" ht="22.2" customHeight="1" x14ac:dyDescent="0.35">
      <c r="B9" s="62"/>
      <c r="C9" s="39"/>
      <c r="D9" s="39"/>
      <c r="E9" s="119">
        <f>SUM(C9:D9)</f>
        <v>0</v>
      </c>
    </row>
    <row r="10" spans="1:8" ht="22.2" customHeight="1" x14ac:dyDescent="0.35">
      <c r="B10" s="62" t="s">
        <v>73</v>
      </c>
      <c r="C10" s="40">
        <f>+'Cash flow'!C16</f>
        <v>569652513.375</v>
      </c>
      <c r="D10" s="40">
        <f>+'Cash flow'!D16</f>
        <v>200148180.375</v>
      </c>
      <c r="E10" s="119">
        <f>SUM(C10:D10)</f>
        <v>769800693.75</v>
      </c>
    </row>
    <row r="11" spans="1:8" ht="32.25" customHeight="1" x14ac:dyDescent="0.35">
      <c r="B11" s="60" t="s">
        <v>54</v>
      </c>
      <c r="C11" s="111">
        <f>SUM(C7:C10)</f>
        <v>4409283763.375</v>
      </c>
      <c r="D11" s="111">
        <f t="shared" ref="D11" si="0">SUM(D7:D10)</f>
        <v>4039779430.375</v>
      </c>
      <c r="E11" s="129">
        <f>SUM(E7:E10)</f>
        <v>8449063193.75</v>
      </c>
      <c r="G11" s="43"/>
    </row>
    <row r="12" spans="1:8" ht="32.25" customHeight="1" x14ac:dyDescent="0.35">
      <c r="B12" s="63"/>
      <c r="C12" s="114"/>
      <c r="D12" s="130"/>
      <c r="E12" s="131"/>
    </row>
    <row r="13" spans="1:8" ht="30" customHeight="1" x14ac:dyDescent="0.35">
      <c r="B13" s="62"/>
      <c r="C13" s="37"/>
      <c r="D13" s="37"/>
      <c r="E13" s="37"/>
    </row>
    <row r="14" spans="1:8" ht="22.2" customHeight="1" x14ac:dyDescent="0.35">
      <c r="B14" s="59" t="s">
        <v>55</v>
      </c>
      <c r="C14" s="41"/>
      <c r="D14" s="41"/>
      <c r="E14" s="41"/>
    </row>
    <row r="15" spans="1:8" ht="19.95" customHeight="1" x14ac:dyDescent="0.35">
      <c r="B15" s="62"/>
      <c r="C15" s="37"/>
      <c r="D15" s="37"/>
      <c r="E15" s="37"/>
    </row>
    <row r="16" spans="1:8" ht="22.2" customHeight="1" x14ac:dyDescent="0.35">
      <c r="B16" s="62"/>
      <c r="C16" s="39">
        <f>+Investment!G13</f>
        <v>0</v>
      </c>
      <c r="D16" s="39"/>
      <c r="E16" s="116">
        <f>SUM(C16:D16)</f>
        <v>0</v>
      </c>
    </row>
    <row r="17" spans="2:7" ht="22.2" customHeight="1" x14ac:dyDescent="0.35">
      <c r="B17" s="61" t="str">
        <f>+Investment!B14</f>
        <v>ԱՊԶ - հասարակական տարածքներ</v>
      </c>
      <c r="C17" s="93">
        <f>+Investment!G14/6*5</f>
        <v>62500</v>
      </c>
      <c r="D17" s="93"/>
      <c r="E17" s="119">
        <f>SUM(C17:D17)</f>
        <v>62500</v>
      </c>
    </row>
    <row r="18" spans="2:7" ht="22.2" customHeight="1" x14ac:dyDescent="0.35">
      <c r="B18" s="61" t="str">
        <f>+Investment!B15</f>
        <v>Շինարարության ծախսեր</v>
      </c>
      <c r="C18" s="93">
        <f>+Investment!G15/1.2/2</f>
        <v>575066666.66666675</v>
      </c>
      <c r="D18" s="93">
        <f>+C18</f>
        <v>575066666.66666675</v>
      </c>
      <c r="E18" s="119">
        <f>SUM(C18:D18)</f>
        <v>1150133333.3333335</v>
      </c>
    </row>
    <row r="19" spans="2:7" ht="22.2" customHeight="1" x14ac:dyDescent="0.35">
      <c r="B19" s="61" t="str">
        <f>+'Cash flow'!B25</f>
        <v>Նախագծային/նախագործառնական  ծախսեր</v>
      </c>
      <c r="C19" s="93">
        <f>+(Investment!G17+Investment!G16)/1.2</f>
        <v>192368666.66666669</v>
      </c>
      <c r="D19" s="93"/>
      <c r="E19" s="119">
        <f>SUM(C19:D19)</f>
        <v>192368666.66666669</v>
      </c>
    </row>
    <row r="20" spans="2:7" ht="22.2" customHeight="1" x14ac:dyDescent="0.35">
      <c r="B20" s="61" t="str">
        <f>+Investment!B19</f>
        <v>Այլ ծախսեր (մարքեթինգ, վարչական, չնախատեսված, այլն)</v>
      </c>
      <c r="C20" s="93">
        <f>+C18*0.02</f>
        <v>11501333.333333336</v>
      </c>
      <c r="D20" s="93">
        <f>+'Cash flow'!D26/1.2</f>
        <v>11501333.333333334</v>
      </c>
      <c r="E20" s="119">
        <f>SUM(C20:D20)</f>
        <v>23002666.666666672</v>
      </c>
    </row>
    <row r="21" spans="2:7" ht="22.2" customHeight="1" x14ac:dyDescent="0.35">
      <c r="B21" s="79"/>
      <c r="C21" s="93"/>
      <c r="D21" s="93"/>
      <c r="E21" s="119">
        <f t="shared" ref="E21:E26" si="1">SUM(C21:D21)</f>
        <v>0</v>
      </c>
    </row>
    <row r="22" spans="2:7" ht="22.2" customHeight="1" x14ac:dyDescent="0.35">
      <c r="B22" s="79" t="str">
        <f>+Investment!B18</f>
        <v>Գույքի արժեք</v>
      </c>
      <c r="C22" s="93">
        <f>+Investment!G18/6*5</f>
        <v>4232983333.333333</v>
      </c>
      <c r="D22" s="93"/>
      <c r="E22" s="119">
        <f t="shared" si="1"/>
        <v>4232983333.333333</v>
      </c>
    </row>
    <row r="23" spans="2:7" ht="22.2" customHeight="1" x14ac:dyDescent="0.35">
      <c r="B23" s="79"/>
      <c r="C23" s="93"/>
      <c r="D23" s="93"/>
      <c r="E23" s="119">
        <f t="shared" si="1"/>
        <v>0</v>
      </c>
    </row>
    <row r="24" spans="2:7" ht="22.2" customHeight="1" x14ac:dyDescent="0.35">
      <c r="B24" s="61" t="s">
        <v>17</v>
      </c>
      <c r="C24" s="93">
        <f>+'Cash flow'!C31</f>
        <v>621439105.5</v>
      </c>
      <c r="D24" s="93">
        <f>+'Cash flow'!D31</f>
        <v>218343469.5</v>
      </c>
      <c r="E24" s="119">
        <f t="shared" si="1"/>
        <v>839782575</v>
      </c>
    </row>
    <row r="25" spans="2:7" ht="22.2" customHeight="1" x14ac:dyDescent="0.35">
      <c r="B25" s="62"/>
      <c r="C25" s="93"/>
      <c r="D25" s="93"/>
      <c r="E25" s="119">
        <f t="shared" si="1"/>
        <v>0</v>
      </c>
    </row>
    <row r="26" spans="2:7" ht="22.2" customHeight="1" x14ac:dyDescent="0.35">
      <c r="B26" s="62"/>
      <c r="C26" s="93"/>
      <c r="D26" s="93"/>
      <c r="E26" s="119">
        <f t="shared" si="1"/>
        <v>0</v>
      </c>
    </row>
    <row r="27" spans="2:7" ht="22.2" customHeight="1" x14ac:dyDescent="0.35">
      <c r="B27" s="62"/>
      <c r="C27" s="39"/>
      <c r="D27" s="39"/>
      <c r="E27" s="119">
        <f>SUM(C27:D27)</f>
        <v>0</v>
      </c>
    </row>
    <row r="28" spans="2:7" ht="30" customHeight="1" x14ac:dyDescent="0.35">
      <c r="B28" s="60" t="s">
        <v>56</v>
      </c>
      <c r="C28" s="118">
        <f>SUM(C16:C27)</f>
        <v>5633421605.5</v>
      </c>
      <c r="D28" s="132">
        <f>SUM(D16:D27)</f>
        <v>804911469.50000012</v>
      </c>
      <c r="E28" s="131">
        <f>+SUM(E16:E27)</f>
        <v>6438333075</v>
      </c>
    </row>
    <row r="29" spans="2:7" ht="30" customHeight="1" x14ac:dyDescent="0.35">
      <c r="B29" s="60" t="s">
        <v>69</v>
      </c>
      <c r="C29" s="49"/>
      <c r="D29" s="49">
        <f>+(D11-D28)*0.18</f>
        <v>582276232.95749998</v>
      </c>
      <c r="E29" s="49">
        <f>+C29+D29</f>
        <v>582276232.95749998</v>
      </c>
      <c r="F29" s="44"/>
      <c r="G29" s="43"/>
    </row>
    <row r="30" spans="2:7" ht="19.95" customHeight="1" x14ac:dyDescent="0.35">
      <c r="B30" s="62"/>
      <c r="C30" s="37"/>
      <c r="D30" s="37"/>
      <c r="E30" s="37"/>
    </row>
    <row r="31" spans="2:7" ht="30" customHeight="1" x14ac:dyDescent="0.35">
      <c r="B31" s="60" t="s">
        <v>57</v>
      </c>
      <c r="C31" s="133">
        <f>+C11-C28-C29</f>
        <v>-1224137842.125</v>
      </c>
      <c r="D31" s="133">
        <f>+D11-D28-D29</f>
        <v>2652591727.9175</v>
      </c>
      <c r="E31" s="133">
        <f>+E11-E28-E29</f>
        <v>1428453885.7925</v>
      </c>
    </row>
    <row r="32" spans="2:7" ht="30" customHeight="1" x14ac:dyDescent="0.35">
      <c r="C32" s="18"/>
      <c r="D32" s="18"/>
      <c r="E32" s="18"/>
    </row>
    <row r="33" spans="2:5" ht="22.2" customHeight="1" x14ac:dyDescent="0.35">
      <c r="B33" s="10"/>
      <c r="C33" s="19"/>
      <c r="D33" s="19"/>
      <c r="E33" s="19"/>
    </row>
    <row r="34" spans="2:5" ht="19.95" customHeight="1" x14ac:dyDescent="0.35">
      <c r="C34" s="18"/>
      <c r="D34" s="18"/>
      <c r="E34" s="18"/>
    </row>
    <row r="35" spans="2:5" ht="22.2" customHeight="1" x14ac:dyDescent="0.35">
      <c r="D35" s="68"/>
    </row>
  </sheetData>
  <phoneticPr fontId="9" type="noConversion"/>
  <conditionalFormatting sqref="E7:E12 C11:D12 E16:E28 C28:D28 C31:E31">
    <cfRule type="cellIs" dxfId="0" priority="2" operator="lessThan">
      <formula>0</formula>
    </cfRule>
  </conditionalFormatting>
  <dataValidations count="4">
    <dataValidation allowBlank="1" showInputMessage="1" showErrorMessage="1" prompt="Enter other operating values that you want to track across each month" sqref="B33" xr:uid="{00000000-0002-0000-0300-000000000000}"/>
    <dataValidation allowBlank="1" showInputMessage="1" showErrorMessage="1" prompt="Enter the cash paid out items for each month_x000a_" sqref="B14" xr:uid="{00000000-0002-0000-0300-000001000000}"/>
    <dataValidation allowBlank="1" showInputMessage="1" showErrorMessage="1" prompt="Enter the cash receipts items for each month._x000a__x000a_For Returns and allowances, enter the values as positive numbers._x000a_" sqref="B5" xr:uid="{00000000-0002-0000-0300-000002000000}"/>
    <dataValidation allowBlank="1" showInputMessage="1" showErrorMessage="1" promptTitle="Cash Flow Forecast Template" prompt="Enter your company name in cell B1, starting cash on hand in cell C4, starting date in cell F4, and a cash minimum balance alert in cell J4._x000a__x000a_Enter the values for your Cash Receipts and Cash Paid Out items for each month in the tables below._x000a_" sqref="A1" xr:uid="{00000000-0002-0000-0300-000003000000}"/>
  </dataValidations>
  <printOptions horizontalCentered="1"/>
  <pageMargins left="0.3" right="0.3" top="0.5" bottom="0.5" header="0.3" footer="0.3"/>
  <pageSetup scale="4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4D3FA1-30A2-42F8-B51D-7BB6C9095E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CD5576-806B-4316-ABA4-7A78E2CBAD3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09D984D9-47BB-465C-B809-4412CE862D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TM00587582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Investment</vt:lpstr>
      <vt:lpstr>Credit</vt:lpstr>
      <vt:lpstr>Cash flow</vt:lpstr>
      <vt:lpstr>Income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2023-01-16T00:49:24Z</dcterms:created>
  <dcterms:modified xsi:type="dcterms:W3CDTF">2026-02-19T11:04:56Z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